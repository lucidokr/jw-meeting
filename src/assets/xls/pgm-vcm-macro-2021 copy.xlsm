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xr:revisionPtr revIDLastSave="0" documentId="13_ncr:1_{598E0D3A-241B-6C4E-80AC-04A742AB3C9D}" xr6:coauthVersionLast="46" xr6:coauthVersionMax="46" xr10:uidLastSave="{00000000-0000-0000-0000-000000000000}"/>
  <bookViews>
    <workbookView xWindow="6900" yWindow="1380" windowWidth="26700" windowHeight="15660" activeTab="2" xr2:uid="{00000000-000D-0000-FFFF-FFFF00000000}"/>
  </bookViews>
  <sheets>
    <sheet name="Bozza" sheetId="1" r:id="rId1"/>
    <sheet name="Bozza Assegnazioni" sheetId="5" r:id="rId2"/>
    <sheet name="Programma" sheetId="2" r:id="rId3"/>
    <sheet name="Assegnazioni" sheetId="6" r:id="rId4"/>
    <sheet name="Assegnazioni OLD" sheetId="4" r:id="rId5"/>
  </sheets>
  <definedNames>
    <definedName name="_xlnm.Print_Area" localSheetId="4">'Assegnazioni OLD'!$A$1:$V$523</definedName>
    <definedName name="_xlnm.Print_Area" localSheetId="2">Programma!$A$1:$N$114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93" i="2" l="1"/>
  <c r="G70" i="2"/>
  <c r="G47" i="2"/>
  <c r="G24" i="2"/>
  <c r="G1" i="2"/>
  <c r="A1" i="2"/>
  <c r="M20" i="2" l="1"/>
  <c r="M43" i="2"/>
  <c r="M66" i="2"/>
  <c r="M89" i="2"/>
  <c r="M112" i="2"/>
  <c r="M97" i="2" l="1"/>
  <c r="M74" i="2"/>
  <c r="M51" i="2"/>
  <c r="M28" i="2"/>
  <c r="M5" i="2"/>
  <c r="M94" i="2"/>
  <c r="M71" i="2"/>
  <c r="M48" i="2"/>
  <c r="M25" i="2"/>
  <c r="M2" i="2"/>
  <c r="R267" i="6" l="1"/>
  <c r="R265" i="6"/>
  <c r="R263" i="6"/>
  <c r="L275" i="6"/>
  <c r="L273" i="6"/>
  <c r="L271" i="6"/>
  <c r="L269" i="6"/>
  <c r="L267" i="6"/>
  <c r="L265" i="6"/>
  <c r="L263" i="6"/>
  <c r="P261" i="6"/>
  <c r="N259" i="6"/>
  <c r="O257" i="6"/>
  <c r="Q255" i="6"/>
  <c r="H267" i="6"/>
  <c r="H265" i="6"/>
  <c r="H263" i="6"/>
  <c r="B275" i="6"/>
  <c r="B273" i="6"/>
  <c r="B271" i="6"/>
  <c r="B269" i="6"/>
  <c r="B267" i="6"/>
  <c r="B265" i="6"/>
  <c r="B263" i="6"/>
  <c r="F261" i="6"/>
  <c r="D259" i="6"/>
  <c r="E257" i="6"/>
  <c r="G255" i="6"/>
  <c r="R244" i="6"/>
  <c r="R242" i="6"/>
  <c r="R240" i="6"/>
  <c r="L252" i="6"/>
  <c r="L250" i="6"/>
  <c r="L248" i="6"/>
  <c r="L246" i="6"/>
  <c r="L244" i="6"/>
  <c r="L242" i="6"/>
  <c r="L240" i="6"/>
  <c r="P238" i="6"/>
  <c r="N236" i="6"/>
  <c r="O234" i="6"/>
  <c r="Q232" i="6"/>
  <c r="H244" i="6"/>
  <c r="H242" i="6"/>
  <c r="H240" i="6"/>
  <c r="B252" i="6"/>
  <c r="B250" i="6"/>
  <c r="B248" i="6"/>
  <c r="B246" i="6"/>
  <c r="B244" i="6"/>
  <c r="B242" i="6"/>
  <c r="B240" i="6"/>
  <c r="F238" i="6"/>
  <c r="D236" i="6"/>
  <c r="E234" i="6"/>
  <c r="G232" i="6"/>
  <c r="R221" i="6" l="1"/>
  <c r="R219" i="6"/>
  <c r="R217" i="6"/>
  <c r="L229" i="6"/>
  <c r="L227" i="6"/>
  <c r="L225" i="6"/>
  <c r="L223" i="6"/>
  <c r="L221" i="6"/>
  <c r="L219" i="6"/>
  <c r="L217" i="6"/>
  <c r="P215" i="6"/>
  <c r="N213" i="6"/>
  <c r="O211" i="6"/>
  <c r="Q209" i="6"/>
  <c r="H221" i="6"/>
  <c r="H219" i="6"/>
  <c r="H217" i="6"/>
  <c r="B229" i="6"/>
  <c r="B227" i="6"/>
  <c r="B225" i="6"/>
  <c r="B223" i="6"/>
  <c r="B221" i="6"/>
  <c r="B219" i="6"/>
  <c r="B217" i="6"/>
  <c r="F215" i="6"/>
  <c r="D213" i="6"/>
  <c r="E211" i="6"/>
  <c r="G209" i="6"/>
  <c r="R198" i="6"/>
  <c r="R196" i="6"/>
  <c r="R194" i="6"/>
  <c r="L206" i="6"/>
  <c r="L204" i="6"/>
  <c r="L202" i="6"/>
  <c r="L200" i="6"/>
  <c r="L198" i="6"/>
  <c r="L196" i="6"/>
  <c r="L194" i="6"/>
  <c r="P192" i="6"/>
  <c r="N190" i="6"/>
  <c r="O188" i="6"/>
  <c r="Q186" i="6"/>
  <c r="H198" i="6"/>
  <c r="H196" i="6"/>
  <c r="H194" i="6"/>
  <c r="B206" i="6"/>
  <c r="B204" i="6"/>
  <c r="B202" i="6"/>
  <c r="B200" i="6"/>
  <c r="B198" i="6"/>
  <c r="B196" i="6"/>
  <c r="B194" i="6"/>
  <c r="F192" i="6"/>
  <c r="D190" i="6"/>
  <c r="E188" i="6"/>
  <c r="G186" i="6"/>
  <c r="R175" i="6"/>
  <c r="R173" i="6"/>
  <c r="R171" i="6"/>
  <c r="L183" i="6"/>
  <c r="L181" i="6"/>
  <c r="L179" i="6"/>
  <c r="L177" i="6"/>
  <c r="L175" i="6"/>
  <c r="L173" i="6"/>
  <c r="L171" i="6"/>
  <c r="P169" i="6"/>
  <c r="N167" i="6"/>
  <c r="O165" i="6"/>
  <c r="Q163" i="6"/>
  <c r="H175" i="6"/>
  <c r="H173" i="6"/>
  <c r="H171" i="6"/>
  <c r="B183" i="6"/>
  <c r="B181" i="6"/>
  <c r="B179" i="6"/>
  <c r="B177" i="6"/>
  <c r="B175" i="6"/>
  <c r="B173" i="6"/>
  <c r="B171" i="6"/>
  <c r="F169" i="6"/>
  <c r="D167" i="6"/>
  <c r="E165" i="6"/>
  <c r="G163" i="6"/>
  <c r="R152" i="6"/>
  <c r="R150" i="6"/>
  <c r="R148" i="6"/>
  <c r="L160" i="6"/>
  <c r="L158" i="6"/>
  <c r="L156" i="6"/>
  <c r="L154" i="6"/>
  <c r="L152" i="6"/>
  <c r="L150" i="6"/>
  <c r="L148" i="6"/>
  <c r="P146" i="6"/>
  <c r="N144" i="6"/>
  <c r="O142" i="6"/>
  <c r="Q140" i="6"/>
  <c r="H152" i="6"/>
  <c r="H150" i="6"/>
  <c r="H148" i="6"/>
  <c r="B160" i="6"/>
  <c r="B158" i="6"/>
  <c r="B156" i="6"/>
  <c r="B154" i="6"/>
  <c r="B152" i="6"/>
  <c r="B150" i="6"/>
  <c r="B148" i="6"/>
  <c r="F146" i="6"/>
  <c r="D144" i="6"/>
  <c r="E142" i="6"/>
  <c r="G140" i="6"/>
  <c r="A93" i="2"/>
  <c r="A70" i="2"/>
  <c r="A47" i="2"/>
  <c r="A24" i="2"/>
  <c r="R125" i="6" l="1"/>
  <c r="P123" i="6"/>
  <c r="N121" i="6"/>
  <c r="O119" i="6"/>
  <c r="Q117" i="6"/>
  <c r="L125" i="6"/>
  <c r="L127" i="6"/>
  <c r="L129" i="6"/>
  <c r="L137" i="6"/>
  <c r="L135" i="6"/>
  <c r="L133" i="6"/>
  <c r="L131" i="6"/>
  <c r="R129" i="6"/>
  <c r="R127" i="6"/>
  <c r="H129" i="6"/>
  <c r="H127" i="6"/>
  <c r="H125" i="6"/>
  <c r="B137" i="6"/>
  <c r="B135" i="6"/>
  <c r="B133" i="6"/>
  <c r="B131" i="6"/>
  <c r="B129" i="6"/>
  <c r="B127" i="6"/>
  <c r="B125" i="6"/>
  <c r="F123" i="6"/>
  <c r="D121" i="6"/>
  <c r="E119" i="6"/>
  <c r="G117" i="6"/>
  <c r="R106" i="6"/>
  <c r="R104" i="6"/>
  <c r="R102" i="6"/>
  <c r="L114" i="6"/>
  <c r="L112" i="6"/>
  <c r="L110" i="6"/>
  <c r="L108" i="6"/>
  <c r="L106" i="6"/>
  <c r="L104" i="6"/>
  <c r="L102" i="6"/>
  <c r="P100" i="6"/>
  <c r="N98" i="6"/>
  <c r="O96" i="6"/>
  <c r="Q94" i="6"/>
  <c r="H106" i="6"/>
  <c r="H104" i="6"/>
  <c r="H102" i="6"/>
  <c r="B114" i="6"/>
  <c r="B112" i="6"/>
  <c r="B110" i="6"/>
  <c r="B108" i="6"/>
  <c r="B106" i="6"/>
  <c r="B104" i="6"/>
  <c r="B102" i="6"/>
  <c r="F100" i="6"/>
  <c r="D98" i="6"/>
  <c r="E96" i="6"/>
  <c r="G94" i="6"/>
  <c r="L91" i="6"/>
  <c r="L89" i="6"/>
  <c r="L87" i="6"/>
  <c r="R83" i="6"/>
  <c r="R81" i="6"/>
  <c r="R79" i="6"/>
  <c r="L85" i="6"/>
  <c r="L83" i="6"/>
  <c r="L81" i="6"/>
  <c r="L79" i="6"/>
  <c r="P77" i="6"/>
  <c r="N75" i="6"/>
  <c r="O73" i="6"/>
  <c r="Q71" i="6"/>
  <c r="B91" i="6"/>
  <c r="B89" i="6"/>
  <c r="B87" i="6"/>
  <c r="H83" i="6"/>
  <c r="H81" i="6"/>
  <c r="H79" i="6"/>
  <c r="B85" i="6"/>
  <c r="B83" i="6"/>
  <c r="B81" i="6"/>
  <c r="B79" i="6"/>
  <c r="F77" i="6"/>
  <c r="D75" i="6"/>
  <c r="E73" i="6"/>
  <c r="G71" i="6"/>
  <c r="L68" i="6"/>
  <c r="L66" i="6"/>
  <c r="L64" i="6"/>
  <c r="R60" i="6"/>
  <c r="R58" i="6"/>
  <c r="R56" i="6"/>
  <c r="L62" i="6"/>
  <c r="L60" i="6"/>
  <c r="L58" i="6"/>
  <c r="L56" i="6"/>
  <c r="P54" i="6"/>
  <c r="N52" i="6"/>
  <c r="O50" i="6"/>
  <c r="Q48" i="6"/>
  <c r="B68" i="6"/>
  <c r="B66" i="6"/>
  <c r="B64" i="6"/>
  <c r="H60" i="6"/>
  <c r="H58" i="6"/>
  <c r="H56" i="6"/>
  <c r="B62" i="6"/>
  <c r="B60" i="6"/>
  <c r="B58" i="6"/>
  <c r="B56" i="6"/>
  <c r="F54" i="6"/>
  <c r="D52" i="6"/>
  <c r="E50" i="6"/>
  <c r="G48" i="6"/>
  <c r="L45" i="6"/>
  <c r="L43" i="6"/>
  <c r="L41" i="6"/>
  <c r="R37" i="6"/>
  <c r="R35" i="6"/>
  <c r="R33" i="6"/>
  <c r="L39" i="6"/>
  <c r="L37" i="6"/>
  <c r="L35" i="6"/>
  <c r="L33" i="6"/>
  <c r="P31" i="6"/>
  <c r="N29" i="6"/>
  <c r="O27" i="6"/>
  <c r="Q25" i="6"/>
  <c r="B45" i="6"/>
  <c r="B43" i="6"/>
  <c r="B41" i="6"/>
  <c r="H37" i="6"/>
  <c r="H35" i="6"/>
  <c r="H33" i="6"/>
  <c r="B39" i="6"/>
  <c r="B37" i="6"/>
  <c r="B35" i="6"/>
  <c r="B33" i="6"/>
  <c r="F31" i="6"/>
  <c r="D29" i="6"/>
  <c r="E27" i="6"/>
  <c r="G25" i="6"/>
  <c r="R14" i="6"/>
  <c r="R12" i="6"/>
  <c r="R10" i="6"/>
  <c r="L22" i="6"/>
  <c r="L20" i="6"/>
  <c r="L18" i="6"/>
  <c r="L16" i="6"/>
  <c r="L14" i="6"/>
  <c r="L12" i="6"/>
  <c r="L10" i="6"/>
  <c r="P8" i="6"/>
  <c r="N6" i="6"/>
  <c r="O4" i="6"/>
  <c r="Q2" i="6"/>
  <c r="G2" i="6"/>
  <c r="E4" i="6"/>
  <c r="D6" i="6"/>
  <c r="F8" i="6"/>
  <c r="B22" i="6"/>
  <c r="B20" i="6"/>
  <c r="B18" i="6"/>
  <c r="H14" i="6"/>
  <c r="H12" i="6"/>
  <c r="H10" i="6"/>
  <c r="B16" i="6"/>
  <c r="B14" i="6"/>
  <c r="B12" i="6"/>
  <c r="B10" i="6"/>
  <c r="M114" i="2" l="1"/>
  <c r="C114" i="2"/>
  <c r="M113" i="2"/>
  <c r="H113" i="2"/>
  <c r="B112" i="2"/>
  <c r="A112" i="2"/>
  <c r="M111" i="2"/>
  <c r="B111" i="2"/>
  <c r="C110" i="2"/>
  <c r="M108" i="2"/>
  <c r="I108" i="2"/>
  <c r="M107" i="2"/>
  <c r="I107" i="2"/>
  <c r="B107" i="2"/>
  <c r="A107" i="2"/>
  <c r="M106" i="2"/>
  <c r="I106" i="2"/>
  <c r="M105" i="2"/>
  <c r="I105" i="2"/>
  <c r="B105" i="2"/>
  <c r="A105" i="2"/>
  <c r="M104" i="2"/>
  <c r="I104" i="2"/>
  <c r="M103" i="2"/>
  <c r="I103" i="2"/>
  <c r="B103" i="2"/>
  <c r="M102" i="2"/>
  <c r="I102" i="2"/>
  <c r="M101" i="2"/>
  <c r="I101" i="2"/>
  <c r="B101" i="2"/>
  <c r="M99" i="2"/>
  <c r="I99" i="2"/>
  <c r="B97" i="2"/>
  <c r="M96" i="2"/>
  <c r="B96" i="2"/>
  <c r="F94" i="2"/>
  <c r="C94" i="2"/>
  <c r="M91" i="2"/>
  <c r="C91" i="2"/>
  <c r="M90" i="2"/>
  <c r="H90" i="2"/>
  <c r="B89" i="2"/>
  <c r="A89" i="2"/>
  <c r="M88" i="2"/>
  <c r="B88" i="2"/>
  <c r="C87" i="2"/>
  <c r="M85" i="2"/>
  <c r="I85" i="2"/>
  <c r="M84" i="2"/>
  <c r="I84" i="2"/>
  <c r="B84" i="2"/>
  <c r="A84" i="2"/>
  <c r="M83" i="2"/>
  <c r="I83" i="2"/>
  <c r="M82" i="2"/>
  <c r="I82" i="2"/>
  <c r="B82" i="2"/>
  <c r="A82" i="2"/>
  <c r="M81" i="2"/>
  <c r="I81" i="2"/>
  <c r="M80" i="2"/>
  <c r="I80" i="2"/>
  <c r="B80" i="2"/>
  <c r="M79" i="2"/>
  <c r="I79" i="2"/>
  <c r="M78" i="2"/>
  <c r="I78" i="2"/>
  <c r="B78" i="2"/>
  <c r="M76" i="2"/>
  <c r="I76" i="2"/>
  <c r="B74" i="2"/>
  <c r="M73" i="2"/>
  <c r="B73" i="2"/>
  <c r="F71" i="2"/>
  <c r="C71" i="2"/>
  <c r="M68" i="2"/>
  <c r="C68" i="2"/>
  <c r="M67" i="2"/>
  <c r="H67" i="2"/>
  <c r="B66" i="2"/>
  <c r="A66" i="2"/>
  <c r="M65" i="2"/>
  <c r="B65" i="2"/>
  <c r="C64" i="2"/>
  <c r="M62" i="2"/>
  <c r="I62" i="2"/>
  <c r="M61" i="2"/>
  <c r="I61" i="2"/>
  <c r="B61" i="2"/>
  <c r="A61" i="2"/>
  <c r="M60" i="2"/>
  <c r="I60" i="2"/>
  <c r="M59" i="2"/>
  <c r="I59" i="2"/>
  <c r="B59" i="2"/>
  <c r="A59" i="2"/>
  <c r="M58" i="2"/>
  <c r="I58" i="2"/>
  <c r="M57" i="2"/>
  <c r="I57" i="2"/>
  <c r="B57" i="2"/>
  <c r="M56" i="2"/>
  <c r="I56" i="2"/>
  <c r="M55" i="2"/>
  <c r="I55" i="2"/>
  <c r="B55" i="2"/>
  <c r="M53" i="2"/>
  <c r="I53" i="2"/>
  <c r="B51" i="2"/>
  <c r="M50" i="2"/>
  <c r="B50" i="2"/>
  <c r="F48" i="2"/>
  <c r="C48" i="2"/>
  <c r="M45" i="2"/>
  <c r="C45" i="2"/>
  <c r="M44" i="2"/>
  <c r="H44" i="2"/>
  <c r="B43" i="2"/>
  <c r="A43" i="2"/>
  <c r="M42" i="2"/>
  <c r="B42" i="2"/>
  <c r="C41" i="2"/>
  <c r="M39" i="2"/>
  <c r="I39" i="2"/>
  <c r="M38" i="2"/>
  <c r="I38" i="2"/>
  <c r="B38" i="2"/>
  <c r="A38" i="2"/>
  <c r="M37" i="2"/>
  <c r="I37" i="2"/>
  <c r="M36" i="2"/>
  <c r="I36" i="2"/>
  <c r="B36" i="2"/>
  <c r="A36" i="2"/>
  <c r="M35" i="2"/>
  <c r="I35" i="2"/>
  <c r="M34" i="2"/>
  <c r="I34" i="2"/>
  <c r="B34" i="2"/>
  <c r="M33" i="2"/>
  <c r="I33" i="2"/>
  <c r="M32" i="2"/>
  <c r="I32" i="2"/>
  <c r="B32" i="2"/>
  <c r="M30" i="2"/>
  <c r="I30" i="2"/>
  <c r="B28" i="2"/>
  <c r="M27" i="2"/>
  <c r="B27" i="2"/>
  <c r="F25" i="2"/>
  <c r="C25" i="2"/>
  <c r="C22" i="2"/>
  <c r="M22" i="2"/>
  <c r="M21" i="2"/>
  <c r="H21" i="2"/>
  <c r="M19" i="2"/>
  <c r="A20" i="2"/>
  <c r="B20" i="2"/>
  <c r="B19" i="2"/>
  <c r="C18" i="2"/>
  <c r="M16" i="2"/>
  <c r="M15" i="2"/>
  <c r="M14" i="2"/>
  <c r="M13" i="2"/>
  <c r="M12" i="2"/>
  <c r="M11" i="2"/>
  <c r="M10" i="2"/>
  <c r="M9" i="2"/>
  <c r="I16" i="2"/>
  <c r="I15" i="2"/>
  <c r="I14" i="2"/>
  <c r="I13" i="2"/>
  <c r="I12" i="2"/>
  <c r="I11" i="2"/>
  <c r="I10" i="2"/>
  <c r="I9" i="2"/>
  <c r="A15" i="2"/>
  <c r="A13" i="2"/>
  <c r="B15" i="2"/>
  <c r="B13" i="2"/>
  <c r="B11" i="2"/>
  <c r="B9" i="2"/>
  <c r="C2" i="2"/>
  <c r="F2" i="2"/>
  <c r="B4" i="2"/>
  <c r="M4" i="2"/>
  <c r="B5" i="2"/>
  <c r="I7" i="2"/>
  <c r="M7" i="2"/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53" i="4" s="1"/>
  <c r="D101" i="4"/>
  <c r="O101" i="4" s="1"/>
  <c r="O76" i="4"/>
  <c r="Q74" i="4"/>
  <c r="S72" i="4"/>
  <c r="R78" i="4"/>
  <c r="G78" i="4"/>
  <c r="F74" i="4"/>
  <c r="H72" i="4"/>
  <c r="Q51" i="4"/>
  <c r="S49" i="4"/>
  <c r="R55" i="4"/>
  <c r="G55" i="4"/>
  <c r="F51" i="4"/>
  <c r="H49" i="4"/>
  <c r="R32" i="4"/>
  <c r="Q28" i="4"/>
  <c r="S26" i="4"/>
  <c r="G32" i="4"/>
  <c r="F28" i="4"/>
  <c r="H26" i="4"/>
  <c r="R8" i="4"/>
  <c r="G8" i="4"/>
  <c r="S2" i="4"/>
  <c r="H2" i="4"/>
  <c r="D30" i="4"/>
  <c r="O30" i="4"/>
  <c r="H97" i="4"/>
  <c r="S97" i="4"/>
  <c r="G103" i="4"/>
  <c r="R103" i="4"/>
  <c r="H120" i="4"/>
  <c r="S120" i="4"/>
  <c r="F122" i="4"/>
  <c r="G126" i="4"/>
  <c r="R126" i="4"/>
  <c r="H143" i="4"/>
  <c r="F145" i="4"/>
  <c r="Q145" i="4"/>
  <c r="G149" i="4"/>
  <c r="R149" i="4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G173" i="4"/>
  <c r="F169" i="4"/>
  <c r="H167" i="4"/>
  <c r="H424" i="4"/>
  <c r="F426" i="4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D124" i="4" l="1"/>
  <c r="O53" i="4"/>
  <c r="D76" i="4"/>
  <c r="O6" i="4"/>
  <c r="O124" i="4" l="1"/>
  <c r="D147" i="4"/>
  <c r="D171" i="4" l="1"/>
  <c r="O147" i="4"/>
  <c r="D194" i="4" l="1"/>
  <c r="O171" i="4"/>
  <c r="O194" i="4" l="1"/>
  <c r="D217" i="4"/>
  <c r="O217" i="4" l="1"/>
  <c r="D241" i="4"/>
  <c r="O241" i="4" l="1"/>
  <c r="D264" i="4"/>
  <c r="O264" i="4" l="1"/>
  <c r="D287" i="4"/>
  <c r="O287" i="4" l="1"/>
  <c r="D310" i="4"/>
  <c r="D334" i="4" l="1"/>
  <c r="O310" i="4"/>
  <c r="D358" i="4" l="1"/>
  <c r="O334" i="4"/>
  <c r="D381" i="4" l="1"/>
  <c r="O358" i="4"/>
  <c r="D404" i="4" l="1"/>
  <c r="O381" i="4"/>
  <c r="D428" i="4" l="1"/>
  <c r="O404" i="4"/>
  <c r="D452" i="4" l="1"/>
  <c r="O452" i="4" s="1"/>
  <c r="O428" i="4"/>
</calcChain>
</file>

<file path=xl/sharedStrings.xml><?xml version="1.0" encoding="utf-8"?>
<sst xmlns="http://schemas.openxmlformats.org/spreadsheetml/2006/main" count="160" uniqueCount="17">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</sst>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0]d\ mmmm\ yyyy;@"/>
    <numFmt numFmtId="165" formatCode="dddd\ d\ mmmm"/>
  </numFmts>
  <fonts count="5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Muli Regular"/>
    </font>
    <font>
      <sz val="14"/>
      <color theme="0"/>
      <name val="Muli Regular"/>
    </font>
    <font>
      <sz val="11"/>
      <color theme="1"/>
      <name val="Muli Regular"/>
    </font>
    <font>
      <sz val="10"/>
      <color theme="1"/>
      <name val="Muli Regular"/>
    </font>
    <font>
      <b/>
      <i/>
      <sz val="10"/>
      <color theme="3" tint="-0.249977111117893"/>
      <name val="Muli Regular"/>
    </font>
    <font>
      <b/>
      <sz val="10"/>
      <color theme="1"/>
      <name val="Muli Regular"/>
    </font>
    <font>
      <b/>
      <sz val="11"/>
      <color theme="0"/>
      <name val="Muli Regular"/>
    </font>
    <font>
      <b/>
      <sz val="14"/>
      <color theme="0"/>
      <name val="Muli Regular"/>
    </font>
    <font>
      <sz val="10"/>
      <color theme="1" tint="0.34998626667073579"/>
      <name val="Muli Regular"/>
    </font>
    <font>
      <sz val="10"/>
      <name val="Muli Regular"/>
    </font>
    <font>
      <b/>
      <i/>
      <sz val="10"/>
      <color theme="1" tint="0.249977111117893"/>
      <name val="Muli Regular"/>
    </font>
    <font>
      <sz val="10"/>
      <color theme="0"/>
      <name val="Muli Regular"/>
    </font>
    <font>
      <sz val="11"/>
      <color theme="1" tint="0.34998626667073579"/>
      <name val="Muli Regular"/>
    </font>
    <font>
      <b/>
      <i/>
      <u/>
      <sz val="11"/>
      <color theme="1" tint="0.249977111117893"/>
      <name val="Muli Regular"/>
    </font>
    <font>
      <u/>
      <sz val="11"/>
      <name val="Muli Regular"/>
    </font>
    <font>
      <b/>
      <i/>
      <sz val="8"/>
      <color rgb="FF927128"/>
      <name val="Muli Regular"/>
    </font>
    <font>
      <sz val="11"/>
      <color rgb="FF927128"/>
      <name val="Muli Regular"/>
    </font>
    <font>
      <sz val="11"/>
      <color rgb="FFE6B914"/>
      <name val="Muli Regular"/>
    </font>
    <font>
      <b/>
      <i/>
      <sz val="11"/>
      <color theme="1"/>
      <name val="Muli Regular"/>
    </font>
    <font>
      <b/>
      <i/>
      <sz val="8"/>
      <color rgb="FFE6B914"/>
      <name val="Muli Regular"/>
    </font>
    <font>
      <sz val="10"/>
      <color rgb="FF990000"/>
      <name val="Muli Regular"/>
    </font>
    <font>
      <b/>
      <i/>
      <sz val="10"/>
      <color rgb="FF990000"/>
      <name val="Muli Regular"/>
    </font>
    <font>
      <b/>
      <sz val="10"/>
      <color theme="0"/>
      <name val="Muli Regular"/>
    </font>
    <font>
      <b/>
      <i/>
      <sz val="11"/>
      <name val="Muli Regular"/>
    </font>
    <font>
      <sz val="11"/>
      <color rgb="FF990000"/>
      <name val="Muli Regular"/>
    </font>
    <font>
      <b/>
      <sz val="9"/>
      <color theme="1"/>
      <name val="Muli Regular"/>
    </font>
    <font>
      <sz val="9"/>
      <color theme="1"/>
      <name val="Muli Regular"/>
    </font>
    <font>
      <i/>
      <sz val="11"/>
      <name val="Muli Regular"/>
    </font>
    <font>
      <b/>
      <i/>
      <sz val="10"/>
      <color rgb="FF927128"/>
      <name val="Muli Regula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4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/>
    <xf numFmtId="0" fontId="13" fillId="0" borderId="0" xfId="0" applyFont="1" applyFill="1" applyBorder="1"/>
    <xf numFmtId="0" fontId="15" fillId="0" borderId="0" xfId="0" applyFont="1"/>
    <xf numFmtId="0" fontId="4" fillId="0" borderId="0" xfId="0" applyFont="1" applyBorder="1"/>
    <xf numFmtId="0" fontId="16" fillId="0" borderId="0" xfId="0" applyFont="1" applyBorder="1"/>
    <xf numFmtId="0" fontId="6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18" fillId="0" borderId="0" xfId="0" applyFont="1" applyBorder="1"/>
    <xf numFmtId="49" fontId="4" fillId="0" borderId="0" xfId="0" applyNumberFormat="1" applyFont="1" applyBorder="1" applyAlignment="1">
      <alignment horizontal="left"/>
    </xf>
    <xf numFmtId="0" fontId="17" fillId="0" borderId="0" xfId="0" applyFont="1" applyAlignment="1">
      <alignment horizontal="center"/>
    </xf>
    <xf numFmtId="49" fontId="4" fillId="0" borderId="0" xfId="0" applyNumberFormat="1" applyFont="1" applyBorder="1"/>
    <xf numFmtId="0" fontId="18" fillId="0" borderId="0" xfId="0" applyFont="1" applyBorder="1" applyAlignment="1">
      <alignment horizontal="center"/>
    </xf>
    <xf numFmtId="0" fontId="8" fillId="0" borderId="0" xfId="0" applyFont="1" applyBorder="1"/>
    <xf numFmtId="164" fontId="4" fillId="0" borderId="0" xfId="0" applyNumberFormat="1" applyFont="1" applyBorder="1" applyAlignment="1"/>
    <xf numFmtId="164" fontId="8" fillId="0" borderId="0" xfId="0" applyNumberFormat="1" applyFont="1" applyBorder="1" applyAlignment="1"/>
    <xf numFmtId="164" fontId="3" fillId="0" borderId="0" xfId="0" applyNumberFormat="1" applyFont="1" applyFill="1" applyBorder="1" applyAlignme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19" fillId="0" borderId="0" xfId="0" applyFont="1"/>
    <xf numFmtId="0" fontId="19" fillId="0" borderId="0" xfId="0" applyFont="1" applyAlignment="1">
      <alignment horizontal="left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/>
    <xf numFmtId="0" fontId="25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25" fillId="0" borderId="0" xfId="0" applyFont="1" applyAlignment="1"/>
    <xf numFmtId="0" fontId="26" fillId="0" borderId="0" xfId="0" applyFont="1" applyAlignment="1"/>
    <xf numFmtId="0" fontId="27" fillId="0" borderId="0" xfId="0" applyFont="1" applyFill="1" applyAlignment="1">
      <alignment vertical="center"/>
    </xf>
    <xf numFmtId="0" fontId="28" fillId="0" borderId="0" xfId="0" applyFont="1" applyFill="1" applyAlignment="1"/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horizontal="center"/>
    </xf>
    <xf numFmtId="0" fontId="30" fillId="0" borderId="0" xfId="0" applyFont="1" applyAlignment="1"/>
    <xf numFmtId="0" fontId="31" fillId="0" borderId="0" xfId="0" applyFont="1" applyAlignment="1"/>
    <xf numFmtId="0" fontId="32" fillId="0" borderId="0" xfId="0" applyFont="1" applyAlignment="1"/>
    <xf numFmtId="0" fontId="29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26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36" fillId="0" borderId="0" xfId="0" applyFont="1" applyFill="1" applyAlignment="1">
      <alignment horizontal="left"/>
    </xf>
    <xf numFmtId="0" fontId="37" fillId="0" borderId="0" xfId="0" applyFont="1" applyAlignment="1">
      <alignment horizontal="center"/>
    </xf>
    <xf numFmtId="0" fontId="26" fillId="0" borderId="0" xfId="0" applyFont="1" applyFill="1" applyAlignment="1">
      <alignment horizontal="left"/>
    </xf>
    <xf numFmtId="0" fontId="23" fillId="0" borderId="0" xfId="0" applyFont="1" applyAlignment="1"/>
    <xf numFmtId="0" fontId="38" fillId="0" borderId="0" xfId="0" applyFont="1" applyAlignment="1"/>
    <xf numFmtId="0" fontId="39" fillId="0" borderId="0" xfId="0" applyFont="1" applyAlignment="1"/>
    <xf numFmtId="0" fontId="37" fillId="0" borderId="0" xfId="0" applyFont="1" applyAlignment="1">
      <alignment horizontal="center" vertical="center"/>
    </xf>
    <xf numFmtId="0" fontId="40" fillId="0" borderId="0" xfId="0" applyFont="1" applyFill="1" applyAlignment="1">
      <alignment horizontal="left"/>
    </xf>
    <xf numFmtId="0" fontId="38" fillId="0" borderId="0" xfId="0" applyFont="1"/>
    <xf numFmtId="0" fontId="39" fillId="0" borderId="0" xfId="0" applyFont="1"/>
    <xf numFmtId="0" fontId="26" fillId="0" borderId="0" xfId="0" quotePrefix="1" applyFont="1" applyAlignment="1">
      <alignment wrapText="1"/>
    </xf>
    <xf numFmtId="0" fontId="26" fillId="0" borderId="0" xfId="0" applyFont="1" applyAlignment="1">
      <alignment wrapText="1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3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Fill="1" applyAlignment="1"/>
    <xf numFmtId="0" fontId="24" fillId="0" borderId="0" xfId="0" applyFont="1" applyFill="1" applyAlignment="1"/>
    <xf numFmtId="0" fontId="41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42" fillId="0" borderId="0" xfId="0" applyFont="1" applyAlignment="1"/>
    <xf numFmtId="0" fontId="32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0" fontId="23" fillId="0" borderId="0" xfId="0" applyFont="1" applyFill="1"/>
    <xf numFmtId="0" fontId="47" fillId="0" borderId="0" xfId="0" applyFont="1" applyAlignment="1">
      <alignment vertical="center"/>
    </xf>
    <xf numFmtId="0" fontId="30" fillId="0" borderId="0" xfId="0" applyFont="1"/>
    <xf numFmtId="0" fontId="0" fillId="0" borderId="2" xfId="0" applyBorder="1"/>
    <xf numFmtId="0" fontId="0" fillId="0" borderId="0" xfId="0" applyBorder="1"/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0" fillId="0" borderId="7" xfId="0" applyBorder="1"/>
    <xf numFmtId="0" fontId="0" fillId="0" borderId="1" xfId="0" applyBorder="1"/>
    <xf numFmtId="0" fontId="26" fillId="0" borderId="0" xfId="0" quotePrefix="1" applyFont="1" applyAlignment="1"/>
    <xf numFmtId="0" fontId="26" fillId="0" borderId="0" xfId="0" quotePrefix="1" applyFont="1" applyAlignment="1">
      <alignment horizontal="left"/>
    </xf>
    <xf numFmtId="0" fontId="49" fillId="0" borderId="0" xfId="0" applyFont="1" applyFill="1" applyAlignment="1">
      <alignment horizontal="left"/>
    </xf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49" fontId="22" fillId="4" borderId="0" xfId="0" applyNumberFormat="1" applyFont="1" applyFill="1" applyBorder="1" applyAlignment="1">
      <alignment horizontal="left"/>
    </xf>
    <xf numFmtId="49" fontId="22" fillId="4" borderId="1" xfId="0" applyNumberFormat="1" applyFont="1" applyFill="1" applyBorder="1" applyAlignment="1">
      <alignment horizontal="left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27" fillId="3" borderId="0" xfId="0" applyFont="1" applyFill="1" applyAlignment="1">
      <alignment vertical="center"/>
    </xf>
    <xf numFmtId="0" fontId="34" fillId="0" borderId="0" xfId="0" applyFont="1" applyAlignment="1">
      <alignment horizontal="center" vertical="center"/>
    </xf>
    <xf numFmtId="0" fontId="27" fillId="5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165" fontId="21" fillId="4" borderId="0" xfId="0" applyNumberFormat="1" applyFont="1" applyFill="1" applyBorder="1" applyAlignment="1">
      <alignment horizontal="center" vertical="top"/>
    </xf>
    <xf numFmtId="165" fontId="21" fillId="4" borderId="0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49" fontId="0" fillId="0" borderId="0" xfId="0" applyNumberFormat="1" applyAlignment="1"/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0</xdr:rowOff>
    </xdr:from>
    <xdr:to>
      <xdr:col>10</xdr:col>
      <xdr:colOff>2491</xdr:colOff>
      <xdr:row>22</xdr:row>
      <xdr:rowOff>1205384</xdr:rowOff>
    </xdr:to>
    <xdr:pic>
      <xdr:nvPicPr>
        <xdr:cNvPr id="3" name="Immagine 1">
          <a:extLst>
            <a:ext uri="{FF2B5EF4-FFF2-40B4-BE49-F238E27FC236}">
              <a16:creationId xmlns:a16="http://schemas.microsoft.com/office/drawing/2014/main" id="{B8E8B2EF-CE00-9C4A-AC85-B4B9DA73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0</xdr:row>
      <xdr:rowOff>0</xdr:rowOff>
    </xdr:from>
    <xdr:to>
      <xdr:col>19</xdr:col>
      <xdr:colOff>198967</xdr:colOff>
      <xdr:row>22</xdr:row>
      <xdr:rowOff>1205384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4CF7E77F-9543-0B4A-AFE2-E1D79963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</xdr:row>
      <xdr:rowOff>0</xdr:rowOff>
    </xdr:from>
    <xdr:to>
      <xdr:col>9</xdr:col>
      <xdr:colOff>198967</xdr:colOff>
      <xdr:row>45</xdr:row>
      <xdr:rowOff>1193231</xdr:rowOff>
    </xdr:to>
    <xdr:pic>
      <xdr:nvPicPr>
        <xdr:cNvPr id="5" name="Immagine 1">
          <a:extLst>
            <a:ext uri="{FF2B5EF4-FFF2-40B4-BE49-F238E27FC236}">
              <a16:creationId xmlns:a16="http://schemas.microsoft.com/office/drawing/2014/main" id="{3C3C12B2-4607-6542-AB83-D20A28D3C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</xdr:row>
      <xdr:rowOff>0</xdr:rowOff>
    </xdr:from>
    <xdr:to>
      <xdr:col>19</xdr:col>
      <xdr:colOff>198967</xdr:colOff>
      <xdr:row>45</xdr:row>
      <xdr:rowOff>1193231</xdr:rowOff>
    </xdr:to>
    <xdr:pic>
      <xdr:nvPicPr>
        <xdr:cNvPr id="6" name="Immagine 1">
          <a:extLst>
            <a:ext uri="{FF2B5EF4-FFF2-40B4-BE49-F238E27FC236}">
              <a16:creationId xmlns:a16="http://schemas.microsoft.com/office/drawing/2014/main" id="{5B3BFB9C-F4EE-234A-A7DA-356F04FF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46</xdr:row>
      <xdr:rowOff>0</xdr:rowOff>
    </xdr:from>
    <xdr:to>
      <xdr:col>9</xdr:col>
      <xdr:colOff>198967</xdr:colOff>
      <xdr:row>68</xdr:row>
      <xdr:rowOff>1193231</xdr:rowOff>
    </xdr:to>
    <xdr:pic>
      <xdr:nvPicPr>
        <xdr:cNvPr id="7" name="Immagine 1">
          <a:extLst>
            <a:ext uri="{FF2B5EF4-FFF2-40B4-BE49-F238E27FC236}">
              <a16:creationId xmlns:a16="http://schemas.microsoft.com/office/drawing/2014/main" id="{4F96DD59-4F1E-1C4E-8D0D-AC2F2F7FE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46</xdr:row>
      <xdr:rowOff>0</xdr:rowOff>
    </xdr:from>
    <xdr:to>
      <xdr:col>19</xdr:col>
      <xdr:colOff>198967</xdr:colOff>
      <xdr:row>68</xdr:row>
      <xdr:rowOff>1193231</xdr:rowOff>
    </xdr:to>
    <xdr:pic>
      <xdr:nvPicPr>
        <xdr:cNvPr id="8" name="Immagine 1">
          <a:extLst>
            <a:ext uri="{FF2B5EF4-FFF2-40B4-BE49-F238E27FC236}">
              <a16:creationId xmlns:a16="http://schemas.microsoft.com/office/drawing/2014/main" id="{DF184234-0047-064F-9908-B35EC9F9A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69</xdr:row>
      <xdr:rowOff>0</xdr:rowOff>
    </xdr:from>
    <xdr:to>
      <xdr:col>10</xdr:col>
      <xdr:colOff>1</xdr:colOff>
      <xdr:row>91</xdr:row>
      <xdr:rowOff>1193231</xdr:rowOff>
    </xdr:to>
    <xdr:pic>
      <xdr:nvPicPr>
        <xdr:cNvPr id="9" name="Immagine 1">
          <a:extLst>
            <a:ext uri="{FF2B5EF4-FFF2-40B4-BE49-F238E27FC236}">
              <a16:creationId xmlns:a16="http://schemas.microsoft.com/office/drawing/2014/main" id="{4C5B620D-99C0-DB47-9955-9A0D05241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69</xdr:row>
      <xdr:rowOff>0</xdr:rowOff>
    </xdr:from>
    <xdr:to>
      <xdr:col>19</xdr:col>
      <xdr:colOff>198967</xdr:colOff>
      <xdr:row>91</xdr:row>
      <xdr:rowOff>1193231</xdr:rowOff>
    </xdr:to>
    <xdr:pic>
      <xdr:nvPicPr>
        <xdr:cNvPr id="10" name="Immagine 1">
          <a:extLst>
            <a:ext uri="{FF2B5EF4-FFF2-40B4-BE49-F238E27FC236}">
              <a16:creationId xmlns:a16="http://schemas.microsoft.com/office/drawing/2014/main" id="{29639DBC-6478-D549-9205-91D685F9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92</xdr:row>
      <xdr:rowOff>0</xdr:rowOff>
    </xdr:from>
    <xdr:to>
      <xdr:col>10</xdr:col>
      <xdr:colOff>1</xdr:colOff>
      <xdr:row>114</xdr:row>
      <xdr:rowOff>1193231</xdr:rowOff>
    </xdr:to>
    <xdr:pic>
      <xdr:nvPicPr>
        <xdr:cNvPr id="11" name="Immagine 1">
          <a:extLst>
            <a:ext uri="{FF2B5EF4-FFF2-40B4-BE49-F238E27FC236}">
              <a16:creationId xmlns:a16="http://schemas.microsoft.com/office/drawing/2014/main" id="{6F2D79E8-8B43-0D43-96A1-C141DFEF9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92</xdr:row>
      <xdr:rowOff>0</xdr:rowOff>
    </xdr:from>
    <xdr:to>
      <xdr:col>19</xdr:col>
      <xdr:colOff>198967</xdr:colOff>
      <xdr:row>114</xdr:row>
      <xdr:rowOff>1193231</xdr:rowOff>
    </xdr:to>
    <xdr:pic>
      <xdr:nvPicPr>
        <xdr:cNvPr id="12" name="Immagine 1">
          <a:extLst>
            <a:ext uri="{FF2B5EF4-FFF2-40B4-BE49-F238E27FC236}">
              <a16:creationId xmlns:a16="http://schemas.microsoft.com/office/drawing/2014/main" id="{1DF47B23-81E0-A740-991A-F9A904E9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115</xdr:row>
      <xdr:rowOff>0</xdr:rowOff>
    </xdr:from>
    <xdr:to>
      <xdr:col>9</xdr:col>
      <xdr:colOff>198967</xdr:colOff>
      <xdr:row>137</xdr:row>
      <xdr:rowOff>1193231</xdr:rowOff>
    </xdr:to>
    <xdr:pic>
      <xdr:nvPicPr>
        <xdr:cNvPr id="13" name="Immagine 1">
          <a:extLst>
            <a:ext uri="{FF2B5EF4-FFF2-40B4-BE49-F238E27FC236}">
              <a16:creationId xmlns:a16="http://schemas.microsoft.com/office/drawing/2014/main" id="{B28DF3C5-EAF6-AC4A-AEC6-57B1EDA13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115</xdr:row>
      <xdr:rowOff>0</xdr:rowOff>
    </xdr:from>
    <xdr:to>
      <xdr:col>19</xdr:col>
      <xdr:colOff>198967</xdr:colOff>
      <xdr:row>137</xdr:row>
      <xdr:rowOff>1193231</xdr:rowOff>
    </xdr:to>
    <xdr:pic>
      <xdr:nvPicPr>
        <xdr:cNvPr id="14" name="Immagine 1">
          <a:extLst>
            <a:ext uri="{FF2B5EF4-FFF2-40B4-BE49-F238E27FC236}">
              <a16:creationId xmlns:a16="http://schemas.microsoft.com/office/drawing/2014/main" id="{C6347456-7F4C-274A-A916-300474CBA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138</xdr:row>
      <xdr:rowOff>0</xdr:rowOff>
    </xdr:from>
    <xdr:to>
      <xdr:col>9</xdr:col>
      <xdr:colOff>198967</xdr:colOff>
      <xdr:row>160</xdr:row>
      <xdr:rowOff>1193231</xdr:rowOff>
    </xdr:to>
    <xdr:pic>
      <xdr:nvPicPr>
        <xdr:cNvPr id="15" name="Immagine 1">
          <a:extLst>
            <a:ext uri="{FF2B5EF4-FFF2-40B4-BE49-F238E27FC236}">
              <a16:creationId xmlns:a16="http://schemas.microsoft.com/office/drawing/2014/main" id="{3BF58CD4-9A43-154C-BAED-3BE63757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138</xdr:row>
      <xdr:rowOff>0</xdr:rowOff>
    </xdr:from>
    <xdr:to>
      <xdr:col>19</xdr:col>
      <xdr:colOff>198967</xdr:colOff>
      <xdr:row>160</xdr:row>
      <xdr:rowOff>1193231</xdr:rowOff>
    </xdr:to>
    <xdr:pic>
      <xdr:nvPicPr>
        <xdr:cNvPr id="16" name="Immagine 1">
          <a:extLst>
            <a:ext uri="{FF2B5EF4-FFF2-40B4-BE49-F238E27FC236}">
              <a16:creationId xmlns:a16="http://schemas.microsoft.com/office/drawing/2014/main" id="{1F54CBD5-C3FD-C246-A7D5-4D918C0D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161</xdr:row>
      <xdr:rowOff>0</xdr:rowOff>
    </xdr:from>
    <xdr:to>
      <xdr:col>10</xdr:col>
      <xdr:colOff>1</xdr:colOff>
      <xdr:row>183</xdr:row>
      <xdr:rowOff>1193231</xdr:rowOff>
    </xdr:to>
    <xdr:pic>
      <xdr:nvPicPr>
        <xdr:cNvPr id="17" name="Immagine 1">
          <a:extLst>
            <a:ext uri="{FF2B5EF4-FFF2-40B4-BE49-F238E27FC236}">
              <a16:creationId xmlns:a16="http://schemas.microsoft.com/office/drawing/2014/main" id="{9DDCACE2-AD89-3149-89AB-FC6643BD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161</xdr:row>
      <xdr:rowOff>0</xdr:rowOff>
    </xdr:from>
    <xdr:to>
      <xdr:col>19</xdr:col>
      <xdr:colOff>198967</xdr:colOff>
      <xdr:row>183</xdr:row>
      <xdr:rowOff>1193231</xdr:rowOff>
    </xdr:to>
    <xdr:pic>
      <xdr:nvPicPr>
        <xdr:cNvPr id="18" name="Immagine 1">
          <a:extLst>
            <a:ext uri="{FF2B5EF4-FFF2-40B4-BE49-F238E27FC236}">
              <a16:creationId xmlns:a16="http://schemas.microsoft.com/office/drawing/2014/main" id="{C2985CDF-7D50-554E-AEDE-2FF870A5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184</xdr:row>
      <xdr:rowOff>0</xdr:rowOff>
    </xdr:from>
    <xdr:to>
      <xdr:col>10</xdr:col>
      <xdr:colOff>1</xdr:colOff>
      <xdr:row>206</xdr:row>
      <xdr:rowOff>1193231</xdr:rowOff>
    </xdr:to>
    <xdr:pic>
      <xdr:nvPicPr>
        <xdr:cNvPr id="19" name="Immagine 1">
          <a:extLst>
            <a:ext uri="{FF2B5EF4-FFF2-40B4-BE49-F238E27FC236}">
              <a16:creationId xmlns:a16="http://schemas.microsoft.com/office/drawing/2014/main" id="{03900549-22A6-3243-BF9B-B6571C76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184</xdr:row>
      <xdr:rowOff>0</xdr:rowOff>
    </xdr:from>
    <xdr:to>
      <xdr:col>19</xdr:col>
      <xdr:colOff>198967</xdr:colOff>
      <xdr:row>206</xdr:row>
      <xdr:rowOff>1193231</xdr:rowOff>
    </xdr:to>
    <xdr:pic>
      <xdr:nvPicPr>
        <xdr:cNvPr id="20" name="Immagine 1">
          <a:extLst>
            <a:ext uri="{FF2B5EF4-FFF2-40B4-BE49-F238E27FC236}">
              <a16:creationId xmlns:a16="http://schemas.microsoft.com/office/drawing/2014/main" id="{028B6369-7996-1C44-A495-50AC4DE9C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207</xdr:row>
      <xdr:rowOff>0</xdr:rowOff>
    </xdr:from>
    <xdr:to>
      <xdr:col>9</xdr:col>
      <xdr:colOff>198967</xdr:colOff>
      <xdr:row>229</xdr:row>
      <xdr:rowOff>1193231</xdr:rowOff>
    </xdr:to>
    <xdr:pic>
      <xdr:nvPicPr>
        <xdr:cNvPr id="21" name="Immagine 1">
          <a:extLst>
            <a:ext uri="{FF2B5EF4-FFF2-40B4-BE49-F238E27FC236}">
              <a16:creationId xmlns:a16="http://schemas.microsoft.com/office/drawing/2014/main" id="{F2FC1580-9786-0741-988E-23BC6ADDC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12700</xdr:colOff>
      <xdr:row>207</xdr:row>
      <xdr:rowOff>0</xdr:rowOff>
    </xdr:from>
    <xdr:to>
      <xdr:col>19</xdr:col>
      <xdr:colOff>186267</xdr:colOff>
      <xdr:row>229</xdr:row>
      <xdr:rowOff>1193231</xdr:rowOff>
    </xdr:to>
    <xdr:pic>
      <xdr:nvPicPr>
        <xdr:cNvPr id="22" name="Immagine 1">
          <a:extLst>
            <a:ext uri="{FF2B5EF4-FFF2-40B4-BE49-F238E27FC236}">
              <a16:creationId xmlns:a16="http://schemas.microsoft.com/office/drawing/2014/main" id="{9AB43414-12C8-3649-AC02-43F3E03F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03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230</xdr:row>
      <xdr:rowOff>0</xdr:rowOff>
    </xdr:from>
    <xdr:to>
      <xdr:col>9</xdr:col>
      <xdr:colOff>198967</xdr:colOff>
      <xdr:row>252</xdr:row>
      <xdr:rowOff>1193231</xdr:rowOff>
    </xdr:to>
    <xdr:pic>
      <xdr:nvPicPr>
        <xdr:cNvPr id="23" name="Immagine 1">
          <a:extLst>
            <a:ext uri="{FF2B5EF4-FFF2-40B4-BE49-F238E27FC236}">
              <a16:creationId xmlns:a16="http://schemas.microsoft.com/office/drawing/2014/main" id="{F2A2BC6A-06B5-5D45-B704-B742AF502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230</xdr:row>
      <xdr:rowOff>0</xdr:rowOff>
    </xdr:from>
    <xdr:to>
      <xdr:col>19</xdr:col>
      <xdr:colOff>198967</xdr:colOff>
      <xdr:row>252</xdr:row>
      <xdr:rowOff>1193231</xdr:rowOff>
    </xdr:to>
    <xdr:pic>
      <xdr:nvPicPr>
        <xdr:cNvPr id="24" name="Immagine 1">
          <a:extLst>
            <a:ext uri="{FF2B5EF4-FFF2-40B4-BE49-F238E27FC236}">
              <a16:creationId xmlns:a16="http://schemas.microsoft.com/office/drawing/2014/main" id="{CF0740A0-5AE0-FE4A-9022-C6B61343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253</xdr:row>
      <xdr:rowOff>12700</xdr:rowOff>
    </xdr:from>
    <xdr:to>
      <xdr:col>9</xdr:col>
      <xdr:colOff>198967</xdr:colOff>
      <xdr:row>275</xdr:row>
      <xdr:rowOff>1205931</xdr:rowOff>
    </xdr:to>
    <xdr:pic>
      <xdr:nvPicPr>
        <xdr:cNvPr id="25" name="Immagine 1">
          <a:extLst>
            <a:ext uri="{FF2B5EF4-FFF2-40B4-BE49-F238E27FC236}">
              <a16:creationId xmlns:a16="http://schemas.microsoft.com/office/drawing/2014/main" id="{1373CEA3-80C5-B246-A1F0-7FFAC033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253</xdr:row>
      <xdr:rowOff>12700</xdr:rowOff>
    </xdr:from>
    <xdr:to>
      <xdr:col>19</xdr:col>
      <xdr:colOff>198967</xdr:colOff>
      <xdr:row>275</xdr:row>
      <xdr:rowOff>1205931</xdr:rowOff>
    </xdr:to>
    <xdr:pic>
      <xdr:nvPicPr>
        <xdr:cNvPr id="26" name="Immagine 1">
          <a:extLst>
            <a:ext uri="{FF2B5EF4-FFF2-40B4-BE49-F238E27FC236}">
              <a16:creationId xmlns:a16="http://schemas.microsoft.com/office/drawing/2014/main" id="{57251670-4F60-1D42-BCD0-001CBEE87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111"/>
  <sheetViews>
    <sheetView zoomScaleNormal="100" zoomScaleSheetLayoutView="92" workbookViewId="0">
      <selection activeCell="D11" sqref="D11"/>
    </sheetView>
  </sheetViews>
  <sheetFormatPr baseColWidth="10" defaultColWidth="8.83203125" defaultRowHeight="15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>
      <c r="A1" s="132"/>
      <c r="B1" s="132"/>
      <c r="C1" s="132"/>
      <c r="D1" s="132"/>
      <c r="E1" s="132"/>
      <c r="F1" s="132"/>
      <c r="G1" s="132"/>
      <c r="H1" s="38"/>
    </row>
    <row r="2" spans="1:8" ht="20">
      <c r="A2" s="26"/>
      <c r="B2" s="8"/>
      <c r="C2" s="26"/>
      <c r="D2" s="27"/>
      <c r="E2" s="28"/>
      <c r="F2" s="26"/>
      <c r="G2" s="27"/>
      <c r="H2" s="29"/>
    </row>
    <row r="3" spans="1:8" ht="24">
      <c r="A3" s="130"/>
      <c r="B3" s="131"/>
      <c r="C3" s="131"/>
      <c r="D3" s="131"/>
      <c r="E3" s="131"/>
      <c r="F3" s="131"/>
      <c r="G3" s="131"/>
      <c r="H3" s="131"/>
    </row>
    <row r="4" spans="1:8" ht="20">
      <c r="A4" s="26"/>
      <c r="B4" s="8"/>
      <c r="C4" s="28"/>
      <c r="D4" s="27"/>
      <c r="E4" s="30"/>
      <c r="F4" s="27"/>
      <c r="G4" s="27"/>
      <c r="H4" s="27"/>
    </row>
    <row r="5" spans="1:8" ht="20">
      <c r="A5" s="26"/>
      <c r="B5" s="8"/>
      <c r="C5" s="28"/>
      <c r="D5" s="27"/>
      <c r="E5" s="30"/>
      <c r="F5" s="27"/>
      <c r="G5" s="27"/>
      <c r="H5" s="27"/>
    </row>
    <row r="6" spans="1:8" s="8" customFormat="1" ht="20">
      <c r="A6" s="26"/>
      <c r="C6" s="28"/>
      <c r="D6" s="27"/>
      <c r="E6" s="42"/>
      <c r="F6" s="27"/>
      <c r="G6" s="27"/>
      <c r="H6" s="27"/>
    </row>
    <row r="7" spans="1:8" ht="20">
      <c r="A7" s="26"/>
      <c r="B7" s="27"/>
      <c r="C7" s="27"/>
      <c r="D7" s="27"/>
      <c r="E7" s="8"/>
      <c r="F7" s="27"/>
      <c r="G7" s="27"/>
      <c r="H7" s="8"/>
    </row>
    <row r="8" spans="1:8" ht="24">
      <c r="A8" s="130"/>
      <c r="B8" s="131"/>
      <c r="C8" s="131"/>
      <c r="D8" s="131"/>
      <c r="E8" s="131"/>
      <c r="F8" s="131"/>
      <c r="G8" s="131"/>
      <c r="H8" s="131"/>
    </row>
    <row r="9" spans="1:8" s="8" customFormat="1" ht="24">
      <c r="A9" s="41"/>
      <c r="B9" s="42"/>
      <c r="C9" s="42"/>
      <c r="D9" s="42"/>
      <c r="E9" s="42"/>
      <c r="F9" s="42"/>
      <c r="G9" s="42"/>
      <c r="H9" s="42"/>
    </row>
    <row r="10" spans="1:8" s="8" customFormat="1" ht="24">
      <c r="A10" s="41"/>
      <c r="B10" s="42"/>
      <c r="C10" s="42"/>
      <c r="D10" s="42"/>
      <c r="E10" s="42"/>
      <c r="F10" s="42"/>
      <c r="G10" s="42"/>
      <c r="H10" s="42"/>
    </row>
    <row r="11" spans="1:8" s="8" customFormat="1" ht="24">
      <c r="A11" s="41"/>
      <c r="B11" s="42"/>
      <c r="C11" s="42"/>
      <c r="D11" s="42"/>
      <c r="E11" s="42"/>
      <c r="F11" s="42"/>
      <c r="G11" s="42"/>
      <c r="H11" s="42"/>
    </row>
    <row r="12" spans="1:8" s="8" customFormat="1" ht="24">
      <c r="A12" s="41"/>
      <c r="B12" s="42"/>
      <c r="C12" s="42"/>
      <c r="D12" s="42"/>
      <c r="E12" s="42"/>
      <c r="F12" s="42"/>
      <c r="G12" s="42"/>
      <c r="H12" s="42"/>
    </row>
    <row r="13" spans="1:8" s="8" customFormat="1" ht="24">
      <c r="A13" s="41"/>
      <c r="B13" s="42"/>
      <c r="C13" s="42"/>
      <c r="D13" s="42"/>
      <c r="E13" s="42"/>
      <c r="F13" s="42"/>
      <c r="G13" s="42"/>
      <c r="H13" s="42"/>
    </row>
    <row r="14" spans="1:8" ht="20">
      <c r="A14" s="26"/>
      <c r="B14" s="27"/>
      <c r="C14" s="27"/>
      <c r="D14" s="30"/>
      <c r="E14" s="28"/>
      <c r="F14" s="30"/>
      <c r="G14" s="31"/>
      <c r="H14" s="30"/>
    </row>
    <row r="15" spans="1:8" ht="24">
      <c r="A15" s="130"/>
      <c r="B15" s="131"/>
      <c r="C15" s="131"/>
      <c r="D15" s="131"/>
      <c r="E15" s="131"/>
      <c r="F15" s="131"/>
      <c r="G15" s="131"/>
      <c r="H15" s="131"/>
    </row>
    <row r="16" spans="1:8" s="8" customFormat="1" ht="20">
      <c r="A16" s="26"/>
      <c r="C16" s="30"/>
      <c r="D16" s="30"/>
      <c r="E16" s="30"/>
      <c r="F16" s="30"/>
      <c r="G16" s="30"/>
      <c r="H16" s="30"/>
    </row>
    <row r="17" spans="1:8" ht="20">
      <c r="A17" s="26"/>
      <c r="B17" s="8"/>
      <c r="C17" s="28"/>
      <c r="D17" s="32"/>
      <c r="E17" s="30"/>
      <c r="F17" s="27"/>
      <c r="G17" s="27"/>
      <c r="H17" s="27"/>
    </row>
    <row r="18" spans="1:8" ht="20">
      <c r="A18" s="26"/>
      <c r="B18" s="8"/>
      <c r="C18" s="28"/>
      <c r="D18" s="27"/>
      <c r="E18" s="30"/>
      <c r="F18" s="27"/>
      <c r="G18" s="27"/>
      <c r="H18" s="27"/>
    </row>
    <row r="19" spans="1:8" ht="20">
      <c r="A19" s="26"/>
      <c r="B19" s="8"/>
      <c r="C19" s="28"/>
      <c r="D19" s="27"/>
      <c r="E19" s="30"/>
      <c r="F19" s="26"/>
      <c r="G19" s="8"/>
      <c r="H19" s="29"/>
    </row>
    <row r="20" spans="1:8" ht="20">
      <c r="A20" s="26"/>
      <c r="B20" s="8"/>
      <c r="C20" s="27"/>
      <c r="D20" s="27"/>
      <c r="E20" s="30"/>
      <c r="F20" s="26"/>
      <c r="G20" s="8"/>
      <c r="H20" s="27"/>
    </row>
    <row r="21" spans="1:8" s="8" customFormat="1" ht="7" customHeight="1">
      <c r="A21" s="27"/>
      <c r="B21" s="27"/>
      <c r="C21" s="27"/>
      <c r="D21" s="27"/>
      <c r="E21" s="30"/>
      <c r="F21" s="27"/>
      <c r="G21" s="27"/>
      <c r="H21" s="27"/>
    </row>
    <row r="22" spans="1:8" ht="26">
      <c r="A22" s="132"/>
      <c r="B22" s="132"/>
      <c r="C22" s="132"/>
      <c r="D22" s="132"/>
      <c r="E22" s="132"/>
      <c r="F22" s="132"/>
      <c r="G22" s="132"/>
      <c r="H22" s="38"/>
    </row>
    <row r="23" spans="1:8" ht="20">
      <c r="A23" s="26"/>
      <c r="B23" s="8"/>
      <c r="C23" s="26"/>
      <c r="D23" s="27"/>
      <c r="E23" s="30"/>
      <c r="F23" s="26"/>
      <c r="G23" s="27"/>
      <c r="H23" s="29"/>
    </row>
    <row r="24" spans="1:8" ht="24">
      <c r="A24" s="130"/>
      <c r="B24" s="131"/>
      <c r="C24" s="131"/>
      <c r="D24" s="131"/>
      <c r="E24" s="131"/>
      <c r="F24" s="131"/>
      <c r="G24" s="131"/>
      <c r="H24" s="131"/>
    </row>
    <row r="25" spans="1:8" ht="20">
      <c r="A25" s="26"/>
      <c r="B25" s="8"/>
      <c r="C25" s="28"/>
      <c r="D25" s="27"/>
      <c r="E25" s="30"/>
      <c r="F25" s="27"/>
      <c r="G25" s="27"/>
      <c r="H25" s="27"/>
    </row>
    <row r="26" spans="1:8" ht="20">
      <c r="A26" s="26"/>
      <c r="B26" s="8"/>
      <c r="C26" s="28"/>
      <c r="D26" s="27"/>
      <c r="E26" s="30"/>
      <c r="F26" s="27"/>
      <c r="G26" s="27"/>
      <c r="H26" s="27"/>
    </row>
    <row r="27" spans="1:8" s="8" customFormat="1">
      <c r="A27" s="27"/>
      <c r="B27" s="27"/>
      <c r="C27" s="28"/>
      <c r="D27" s="27"/>
      <c r="E27" s="30"/>
      <c r="F27" s="27"/>
      <c r="G27" s="27"/>
      <c r="H27" s="27"/>
    </row>
    <row r="28" spans="1:8" ht="20">
      <c r="A28" s="26"/>
      <c r="B28" s="27"/>
      <c r="C28" s="27"/>
      <c r="D28" s="27"/>
      <c r="E28" s="8"/>
      <c r="F28" s="27"/>
      <c r="G28" s="27"/>
      <c r="H28" s="8"/>
    </row>
    <row r="29" spans="1:8" ht="24">
      <c r="A29" s="130"/>
      <c r="B29" s="131"/>
      <c r="C29" s="131"/>
      <c r="D29" s="131"/>
      <c r="E29" s="131"/>
      <c r="F29" s="131"/>
      <c r="G29" s="131"/>
      <c r="H29" s="131"/>
    </row>
    <row r="30" spans="1:8" ht="20">
      <c r="A30" s="26"/>
      <c r="B30" s="30"/>
      <c r="C30" s="31"/>
      <c r="D30" s="30"/>
      <c r="E30" s="8"/>
      <c r="F30" s="33"/>
      <c r="G30" s="31"/>
      <c r="H30" s="8"/>
    </row>
    <row r="31" spans="1:8" s="7" customFormat="1" ht="24">
      <c r="A31" s="34"/>
      <c r="B31" s="30"/>
      <c r="C31" s="8"/>
      <c r="D31" s="30"/>
      <c r="E31" s="30"/>
      <c r="F31" s="8"/>
      <c r="G31" s="31"/>
      <c r="H31" s="30"/>
    </row>
    <row r="32" spans="1:8" ht="20">
      <c r="A32" s="26"/>
      <c r="B32" s="27"/>
      <c r="C32" s="27"/>
      <c r="D32" s="27"/>
      <c r="E32" s="8"/>
      <c r="F32" s="35"/>
      <c r="G32" s="27"/>
      <c r="H32" s="8"/>
    </row>
    <row r="33" spans="1:8" s="7" customFormat="1" ht="24">
      <c r="A33" s="34"/>
      <c r="B33" s="27"/>
      <c r="C33" s="8"/>
      <c r="D33" s="27"/>
      <c r="E33" s="30"/>
      <c r="F33" s="8"/>
      <c r="G33" s="27"/>
      <c r="H33" s="27"/>
    </row>
    <row r="34" spans="1:8" ht="20">
      <c r="A34" s="26"/>
      <c r="B34" s="27"/>
      <c r="C34" s="27"/>
      <c r="D34" s="27"/>
      <c r="E34" s="8"/>
      <c r="F34" s="33"/>
      <c r="G34" s="27"/>
      <c r="H34" s="8"/>
    </row>
    <row r="35" spans="1:8" s="7" customFormat="1" ht="20">
      <c r="A35" s="26"/>
      <c r="B35" s="27"/>
      <c r="C35" s="8"/>
      <c r="D35" s="27"/>
      <c r="E35" s="30"/>
      <c r="F35" s="8"/>
      <c r="G35" s="27"/>
      <c r="H35" s="27"/>
    </row>
    <row r="36" spans="1:8" ht="24">
      <c r="A36" s="130"/>
      <c r="B36" s="131"/>
      <c r="C36" s="131"/>
      <c r="D36" s="131"/>
      <c r="E36" s="131"/>
      <c r="F36" s="131"/>
      <c r="G36" s="131"/>
      <c r="H36" s="131"/>
    </row>
    <row r="37" spans="1:8" s="8" customFormat="1" ht="20">
      <c r="A37" s="26"/>
      <c r="C37" s="30"/>
      <c r="D37" s="30"/>
      <c r="E37" s="30"/>
      <c r="F37" s="30"/>
      <c r="G37" s="30"/>
      <c r="H37" s="30"/>
    </row>
    <row r="38" spans="1:8" ht="20">
      <c r="A38" s="26"/>
      <c r="B38" s="8"/>
      <c r="C38" s="28"/>
      <c r="D38" s="27"/>
      <c r="E38" s="30"/>
      <c r="F38" s="27"/>
      <c r="G38" s="27"/>
      <c r="H38" s="27"/>
    </row>
    <row r="39" spans="1:8" s="4" customFormat="1" ht="20">
      <c r="A39" s="26"/>
      <c r="B39" s="8"/>
      <c r="C39" s="28"/>
      <c r="D39" s="27"/>
      <c r="E39" s="30"/>
      <c r="F39" s="27"/>
      <c r="G39" s="27"/>
      <c r="H39" s="27"/>
    </row>
    <row r="40" spans="1:8" ht="20">
      <c r="A40" s="26"/>
      <c r="B40" s="8"/>
      <c r="C40" s="28"/>
      <c r="D40" s="27"/>
      <c r="E40" s="30"/>
      <c r="F40" s="26"/>
      <c r="G40" s="8"/>
      <c r="H40" s="29"/>
    </row>
    <row r="41" spans="1:8" ht="20">
      <c r="A41" s="26"/>
      <c r="B41" s="8"/>
      <c r="C41" s="27"/>
      <c r="D41" s="27"/>
      <c r="E41" s="30"/>
      <c r="F41" s="26"/>
      <c r="G41" s="8"/>
      <c r="H41" s="27"/>
    </row>
    <row r="42" spans="1:8" s="8" customFormat="1" ht="6" customHeight="1">
      <c r="A42" s="31"/>
      <c r="B42" s="27"/>
      <c r="C42" s="27"/>
      <c r="D42" s="27"/>
      <c r="E42" s="30"/>
      <c r="F42" s="27"/>
      <c r="G42" s="27"/>
      <c r="H42" s="27"/>
    </row>
    <row r="43" spans="1:8" ht="26">
      <c r="A43" s="132"/>
      <c r="B43" s="132"/>
      <c r="C43" s="132"/>
      <c r="D43" s="132"/>
      <c r="E43" s="132"/>
      <c r="F43" s="132"/>
      <c r="G43" s="132"/>
      <c r="H43" s="39"/>
    </row>
    <row r="44" spans="1:8" ht="20">
      <c r="A44" s="26"/>
      <c r="B44" s="8"/>
      <c r="C44" s="26"/>
      <c r="D44" s="27"/>
      <c r="E44" s="36"/>
      <c r="F44" s="26"/>
      <c r="G44" s="27"/>
      <c r="H44" s="29"/>
    </row>
    <row r="45" spans="1:8" ht="24">
      <c r="A45" s="130"/>
      <c r="B45" s="131"/>
      <c r="C45" s="131"/>
      <c r="D45" s="131"/>
      <c r="E45" s="131"/>
      <c r="F45" s="131"/>
      <c r="G45" s="131"/>
      <c r="H45" s="131"/>
    </row>
    <row r="46" spans="1:8" ht="20">
      <c r="A46" s="26"/>
      <c r="B46" s="8"/>
      <c r="C46" s="28"/>
      <c r="D46" s="27"/>
      <c r="E46" s="30"/>
      <c r="F46" s="27"/>
      <c r="G46" s="27"/>
      <c r="H46" s="27"/>
    </row>
    <row r="47" spans="1:8" ht="20">
      <c r="A47" s="26"/>
      <c r="B47" s="8"/>
      <c r="C47" s="28"/>
      <c r="D47" s="27"/>
      <c r="E47" s="30"/>
      <c r="F47" s="27"/>
      <c r="G47" s="27"/>
      <c r="H47" s="27"/>
    </row>
    <row r="48" spans="1:8" s="8" customFormat="1">
      <c r="A48" s="27"/>
      <c r="B48" s="27"/>
      <c r="C48" s="28"/>
      <c r="D48" s="27"/>
      <c r="E48" s="30"/>
      <c r="F48" s="27"/>
      <c r="G48" s="27"/>
      <c r="H48" s="27"/>
    </row>
    <row r="49" spans="1:8" ht="20">
      <c r="A49" s="26"/>
      <c r="B49" s="27"/>
      <c r="C49" s="27"/>
      <c r="D49" s="27"/>
      <c r="E49" s="8"/>
      <c r="F49" s="27"/>
      <c r="G49" s="27"/>
      <c r="H49" s="8"/>
    </row>
    <row r="50" spans="1:8" ht="24">
      <c r="A50" s="130"/>
      <c r="B50" s="131"/>
      <c r="C50" s="131"/>
      <c r="D50" s="131"/>
      <c r="E50" s="131"/>
      <c r="F50" s="131"/>
      <c r="G50" s="131"/>
      <c r="H50" s="131"/>
    </row>
    <row r="51" spans="1:8" ht="20">
      <c r="A51" s="26"/>
      <c r="B51" s="30"/>
      <c r="C51" s="31"/>
      <c r="D51" s="30"/>
      <c r="E51" s="8"/>
      <c r="F51" s="35"/>
      <c r="G51" s="30"/>
      <c r="H51" s="8"/>
    </row>
    <row r="52" spans="1:8" ht="24">
      <c r="A52" s="34"/>
      <c r="B52" s="30"/>
      <c r="C52" s="8"/>
      <c r="D52" s="30"/>
      <c r="E52" s="30"/>
      <c r="F52" s="8"/>
      <c r="G52" s="30"/>
      <c r="H52" s="30"/>
    </row>
    <row r="53" spans="1:8" ht="20">
      <c r="A53" s="26"/>
      <c r="B53" s="27"/>
      <c r="C53" s="27"/>
      <c r="D53" s="27"/>
      <c r="E53" s="8"/>
      <c r="F53" s="35"/>
      <c r="G53" s="27"/>
      <c r="H53" s="8"/>
    </row>
    <row r="54" spans="1:8" ht="24">
      <c r="A54" s="34"/>
      <c r="B54" s="27"/>
      <c r="C54" s="8"/>
      <c r="D54" s="27"/>
      <c r="E54" s="30"/>
      <c r="F54" s="8"/>
      <c r="G54" s="27"/>
      <c r="H54" s="27"/>
    </row>
    <row r="55" spans="1:8" ht="20">
      <c r="A55" s="26"/>
      <c r="B55" s="27"/>
      <c r="C55" s="27"/>
      <c r="D55" s="27"/>
      <c r="E55" s="8"/>
      <c r="F55" s="35"/>
      <c r="G55" s="27"/>
      <c r="H55" s="8"/>
    </row>
    <row r="56" spans="1:8" ht="20">
      <c r="A56" s="26"/>
      <c r="B56" s="27"/>
      <c r="C56" s="27"/>
      <c r="D56" s="27"/>
      <c r="E56" s="30"/>
      <c r="F56" s="35"/>
      <c r="G56" s="27"/>
      <c r="H56" s="27"/>
    </row>
    <row r="57" spans="1:8" ht="24">
      <c r="A57" s="130"/>
      <c r="B57" s="131"/>
      <c r="C57" s="131"/>
      <c r="D57" s="131"/>
      <c r="E57" s="131"/>
      <c r="F57" s="131"/>
      <c r="G57" s="131"/>
      <c r="H57" s="131"/>
    </row>
    <row r="58" spans="1:8" s="8" customFormat="1" ht="20">
      <c r="A58" s="26"/>
      <c r="C58" s="30"/>
      <c r="D58" s="30"/>
      <c r="E58" s="30"/>
      <c r="F58" s="30"/>
      <c r="G58" s="30"/>
      <c r="H58" s="30"/>
    </row>
    <row r="59" spans="1:8" ht="20">
      <c r="A59" s="26"/>
      <c r="B59" s="8"/>
      <c r="C59" s="28"/>
      <c r="D59" s="27"/>
      <c r="E59" s="30"/>
      <c r="F59" s="27"/>
      <c r="G59" s="27"/>
      <c r="H59" s="27"/>
    </row>
    <row r="60" spans="1:8" s="6" customFormat="1" ht="20">
      <c r="A60" s="26"/>
      <c r="B60" s="8"/>
      <c r="C60" s="28"/>
      <c r="D60" s="27"/>
      <c r="E60" s="30"/>
      <c r="F60" s="27"/>
      <c r="G60" s="27"/>
      <c r="H60" s="27"/>
    </row>
    <row r="61" spans="1:8" ht="20">
      <c r="A61" s="26"/>
      <c r="B61" s="8"/>
      <c r="C61" s="28"/>
      <c r="D61" s="27"/>
      <c r="E61" s="30"/>
      <c r="F61" s="26"/>
      <c r="G61" s="8"/>
      <c r="H61" s="29"/>
    </row>
    <row r="62" spans="1:8" ht="20">
      <c r="A62" s="26"/>
      <c r="B62" s="8"/>
      <c r="C62" s="27"/>
      <c r="D62" s="27"/>
      <c r="E62" s="30"/>
      <c r="F62" s="26"/>
      <c r="G62" s="8"/>
      <c r="H62" s="27"/>
    </row>
    <row r="63" spans="1:8" s="8" customFormat="1" ht="5" customHeight="1">
      <c r="A63" s="32"/>
      <c r="B63" s="27"/>
      <c r="C63" s="27"/>
      <c r="D63" s="27"/>
      <c r="E63" s="30"/>
      <c r="F63" s="31"/>
      <c r="G63" s="27"/>
      <c r="H63" s="27"/>
    </row>
    <row r="64" spans="1:8" ht="26">
      <c r="A64" s="132"/>
      <c r="B64" s="132"/>
      <c r="C64" s="132"/>
      <c r="D64" s="132"/>
      <c r="E64" s="132"/>
      <c r="F64" s="132"/>
      <c r="G64" s="132"/>
      <c r="H64" s="38"/>
    </row>
    <row r="65" spans="1:8" ht="20">
      <c r="A65" s="26"/>
      <c r="B65" s="8"/>
      <c r="C65" s="26"/>
      <c r="D65" s="27"/>
      <c r="E65" s="28"/>
      <c r="F65" s="26"/>
      <c r="G65" s="27"/>
      <c r="H65" s="29"/>
    </row>
    <row r="66" spans="1:8" ht="24">
      <c r="A66" s="130"/>
      <c r="B66" s="131"/>
      <c r="C66" s="131"/>
      <c r="D66" s="131"/>
      <c r="E66" s="131"/>
      <c r="F66" s="131"/>
      <c r="G66" s="131"/>
      <c r="H66" s="131"/>
    </row>
    <row r="67" spans="1:8" ht="20">
      <c r="A67" s="26"/>
      <c r="B67" s="8"/>
      <c r="C67" s="28"/>
      <c r="D67" s="27"/>
      <c r="E67" s="30"/>
      <c r="F67" s="27"/>
      <c r="G67" s="27"/>
      <c r="H67" s="27"/>
    </row>
    <row r="68" spans="1:8" ht="20">
      <c r="A68" s="26"/>
      <c r="B68" s="8"/>
      <c r="C68" s="28"/>
      <c r="D68" s="27"/>
      <c r="E68" s="30"/>
      <c r="F68" s="27"/>
      <c r="G68" s="27"/>
      <c r="H68" s="27"/>
    </row>
    <row r="69" spans="1:8" s="8" customFormat="1">
      <c r="A69" s="31"/>
      <c r="B69" s="27"/>
      <c r="C69" s="28"/>
      <c r="D69" s="27"/>
      <c r="E69" s="30"/>
      <c r="F69" s="27"/>
      <c r="G69" s="27"/>
      <c r="H69" s="27"/>
    </row>
    <row r="70" spans="1:8" ht="20">
      <c r="A70" s="26"/>
      <c r="B70" s="27"/>
      <c r="C70" s="27"/>
      <c r="D70" s="27"/>
      <c r="E70" s="8"/>
      <c r="F70" s="27"/>
      <c r="G70" s="27"/>
      <c r="H70" s="8"/>
    </row>
    <row r="71" spans="1:8" ht="24">
      <c r="A71" s="130"/>
      <c r="B71" s="131"/>
      <c r="C71" s="131"/>
      <c r="D71" s="131"/>
      <c r="E71" s="131"/>
      <c r="F71" s="131"/>
      <c r="G71" s="131"/>
      <c r="H71" s="131"/>
    </row>
    <row r="72" spans="1:8" ht="20">
      <c r="A72" s="26"/>
      <c r="B72" s="30"/>
      <c r="C72" s="27"/>
      <c r="D72" s="30"/>
      <c r="E72" s="8"/>
      <c r="F72" s="33"/>
      <c r="G72" s="31"/>
      <c r="H72" s="8"/>
    </row>
    <row r="73" spans="1:8" ht="24">
      <c r="A73" s="34"/>
      <c r="B73" s="30"/>
      <c r="C73" s="8"/>
      <c r="D73" s="30"/>
      <c r="E73" s="30"/>
      <c r="F73" s="8"/>
      <c r="G73" s="31"/>
      <c r="H73" s="30"/>
    </row>
    <row r="74" spans="1:8" ht="20">
      <c r="A74" s="26"/>
      <c r="B74" s="27"/>
      <c r="C74" s="27"/>
      <c r="D74" s="27"/>
      <c r="E74" s="8"/>
      <c r="F74" s="35"/>
      <c r="G74" s="27"/>
      <c r="H74" s="8"/>
    </row>
    <row r="75" spans="1:8" ht="24">
      <c r="A75" s="34"/>
      <c r="B75" s="27"/>
      <c r="C75" s="8"/>
      <c r="D75" s="27"/>
      <c r="E75" s="30"/>
      <c r="F75" s="8"/>
      <c r="G75" s="27"/>
      <c r="H75" s="27"/>
    </row>
    <row r="76" spans="1:8" ht="20">
      <c r="A76" s="26"/>
      <c r="B76" s="27"/>
      <c r="C76" s="37"/>
      <c r="D76" s="27"/>
      <c r="E76" s="8"/>
      <c r="F76" s="35"/>
      <c r="G76" s="27"/>
      <c r="H76" s="8"/>
    </row>
    <row r="77" spans="1:8" ht="20">
      <c r="A77" s="26"/>
      <c r="B77" s="27"/>
      <c r="C77" s="8"/>
      <c r="D77" s="27"/>
      <c r="E77" s="30"/>
      <c r="F77" s="8"/>
      <c r="G77" s="27"/>
      <c r="H77" s="27"/>
    </row>
    <row r="78" spans="1:8" ht="24">
      <c r="A78" s="130"/>
      <c r="B78" s="131"/>
      <c r="C78" s="131"/>
      <c r="D78" s="131"/>
      <c r="E78" s="131"/>
      <c r="F78" s="131"/>
      <c r="G78" s="131"/>
      <c r="H78" s="131"/>
    </row>
    <row r="79" spans="1:8" s="8" customFormat="1" ht="20">
      <c r="A79" s="26"/>
      <c r="C79" s="30"/>
      <c r="D79" s="30"/>
      <c r="E79" s="30"/>
      <c r="F79" s="30"/>
      <c r="G79" s="30"/>
      <c r="H79" s="30"/>
    </row>
    <row r="80" spans="1:8" ht="20">
      <c r="A80" s="26"/>
      <c r="B80" s="8"/>
      <c r="C80" s="28"/>
      <c r="D80" s="27"/>
      <c r="E80" s="30"/>
      <c r="F80" s="27"/>
      <c r="G80" s="27"/>
      <c r="H80" s="27"/>
    </row>
    <row r="81" spans="1:8" ht="20">
      <c r="A81" s="26"/>
      <c r="B81" s="8"/>
      <c r="C81" s="28"/>
      <c r="D81" s="27"/>
      <c r="E81" s="30"/>
      <c r="F81" s="27"/>
      <c r="G81" s="27"/>
      <c r="H81" s="27"/>
    </row>
    <row r="82" spans="1:8" ht="20">
      <c r="A82" s="26"/>
      <c r="B82" s="8"/>
      <c r="C82" s="28"/>
      <c r="D82" s="27"/>
      <c r="E82" s="30"/>
      <c r="F82" s="26"/>
      <c r="G82" s="8"/>
      <c r="H82" s="27"/>
    </row>
    <row r="83" spans="1:8" ht="20">
      <c r="A83" s="26"/>
      <c r="B83" s="8"/>
      <c r="C83" s="27"/>
      <c r="D83" s="27"/>
      <c r="E83" s="30"/>
      <c r="F83" s="26"/>
      <c r="G83" s="8"/>
      <c r="H83" s="27"/>
    </row>
    <row r="84" spans="1:8" s="8" customFormat="1" ht="7" customHeight="1">
      <c r="A84" s="10"/>
      <c r="B84" s="13"/>
      <c r="C84" s="13"/>
      <c r="D84" s="13"/>
      <c r="E84" s="16"/>
      <c r="F84" s="20"/>
      <c r="G84" s="13"/>
      <c r="H84" s="13"/>
    </row>
    <row r="85" spans="1:8">
      <c r="A85" s="134"/>
      <c r="B85" s="134"/>
      <c r="C85" s="134"/>
      <c r="D85" s="134"/>
      <c r="E85" s="134"/>
      <c r="F85" s="134"/>
      <c r="G85" s="134"/>
      <c r="H85" s="40"/>
    </row>
    <row r="86" spans="1:8">
      <c r="A86" s="10"/>
      <c r="B86" s="11"/>
      <c r="C86" s="20"/>
      <c r="D86" s="14"/>
      <c r="E86" s="21"/>
      <c r="F86" s="20"/>
      <c r="G86" s="13"/>
      <c r="H86" s="15"/>
    </row>
    <row r="87" spans="1:8">
      <c r="A87" s="133"/>
      <c r="B87" s="133"/>
      <c r="C87" s="133"/>
      <c r="D87" s="133"/>
      <c r="E87" s="133"/>
      <c r="F87" s="133"/>
      <c r="G87" s="133"/>
      <c r="H87" s="133"/>
    </row>
    <row r="88" spans="1:8">
      <c r="A88" s="20"/>
      <c r="B88" s="23"/>
      <c r="C88" s="14"/>
      <c r="D88" s="23"/>
      <c r="E88" s="23"/>
      <c r="F88" s="23"/>
      <c r="G88" s="23"/>
      <c r="H88" s="23"/>
    </row>
    <row r="89" spans="1:8">
      <c r="A89" s="20"/>
      <c r="B89" s="23"/>
      <c r="C89" s="14"/>
      <c r="D89" s="23"/>
      <c r="E89" s="23"/>
      <c r="F89" s="23"/>
      <c r="G89" s="23"/>
      <c r="H89" s="23"/>
    </row>
    <row r="90" spans="1:8" s="8" customFormat="1">
      <c r="A90" s="20"/>
      <c r="B90" s="23"/>
      <c r="C90" s="14"/>
      <c r="D90" s="23"/>
      <c r="E90" s="23"/>
      <c r="F90" s="23"/>
      <c r="G90" s="23"/>
      <c r="H90" s="23"/>
    </row>
    <row r="91" spans="1:8">
      <c r="A91" s="20"/>
      <c r="B91" s="13"/>
      <c r="C91" s="13"/>
      <c r="D91" s="13"/>
      <c r="E91" s="16"/>
      <c r="F91" s="13"/>
      <c r="G91" s="13"/>
      <c r="H91" s="13"/>
    </row>
    <row r="92" spans="1:8">
      <c r="A92" s="133"/>
      <c r="B92" s="133"/>
      <c r="C92" s="133"/>
      <c r="D92" s="133"/>
      <c r="E92" s="133"/>
      <c r="F92" s="133"/>
      <c r="G92" s="133"/>
      <c r="H92" s="133"/>
    </row>
    <row r="93" spans="1:8">
      <c r="A93" s="20"/>
      <c r="B93" s="19"/>
      <c r="C93" s="20"/>
      <c r="D93" s="19"/>
      <c r="E93" s="16"/>
      <c r="F93" s="18"/>
      <c r="G93" s="18"/>
      <c r="H93" s="19"/>
    </row>
    <row r="94" spans="1:8">
      <c r="A94" s="20"/>
      <c r="B94" s="19"/>
      <c r="C94" s="18"/>
      <c r="D94" s="19"/>
      <c r="E94" s="16"/>
      <c r="F94" s="18"/>
      <c r="G94" s="18"/>
      <c r="H94" s="19"/>
    </row>
    <row r="95" spans="1:8">
      <c r="A95" s="20"/>
      <c r="B95" s="13"/>
      <c r="C95" s="12"/>
      <c r="D95" s="13"/>
      <c r="E95" s="16"/>
      <c r="F95" s="13"/>
      <c r="G95" s="13"/>
      <c r="H95" s="13"/>
    </row>
    <row r="96" spans="1:8">
      <c r="A96" s="20"/>
      <c r="B96" s="13"/>
      <c r="C96" s="13"/>
      <c r="D96" s="13"/>
      <c r="E96" s="16"/>
      <c r="F96" s="13"/>
      <c r="G96" s="13"/>
      <c r="H96" s="13"/>
    </row>
    <row r="97" spans="1:8">
      <c r="A97" s="20"/>
      <c r="B97" s="13"/>
      <c r="C97" s="24"/>
      <c r="D97" s="13"/>
      <c r="E97" s="16"/>
      <c r="F97" s="13"/>
      <c r="G97" s="13"/>
      <c r="H97" s="13"/>
    </row>
    <row r="98" spans="1:8">
      <c r="A98" s="20"/>
      <c r="B98" s="13"/>
      <c r="C98" s="22"/>
      <c r="D98" s="13"/>
      <c r="E98" s="16"/>
      <c r="F98" s="13"/>
      <c r="G98" s="13"/>
      <c r="H98" s="13"/>
    </row>
    <row r="99" spans="1:8">
      <c r="A99" s="133"/>
      <c r="B99" s="133"/>
      <c r="C99" s="133"/>
      <c r="D99" s="133"/>
      <c r="E99" s="133"/>
      <c r="F99" s="133"/>
      <c r="G99" s="133"/>
      <c r="H99" s="133"/>
    </row>
    <row r="100" spans="1:8" s="8" customFormat="1">
      <c r="A100" s="25"/>
      <c r="B100" s="19"/>
      <c r="C100" s="19"/>
      <c r="D100" s="19"/>
      <c r="E100" s="19"/>
      <c r="F100" s="19"/>
      <c r="G100" s="19"/>
      <c r="H100" s="19"/>
    </row>
    <row r="101" spans="1:8">
      <c r="A101" s="20"/>
      <c r="B101" s="14"/>
      <c r="C101" s="11"/>
      <c r="D101" s="23"/>
      <c r="E101" s="23"/>
      <c r="F101" s="23"/>
      <c r="G101" s="23"/>
      <c r="H101" s="23"/>
    </row>
    <row r="102" spans="1:8">
      <c r="A102" s="20"/>
      <c r="B102" s="23"/>
      <c r="C102" s="14"/>
      <c r="D102" s="23"/>
      <c r="E102" s="23"/>
      <c r="F102" s="23"/>
      <c r="G102" s="23"/>
      <c r="H102" s="23"/>
    </row>
    <row r="103" spans="1:8">
      <c r="A103" s="20"/>
      <c r="B103" s="14"/>
      <c r="C103" s="11"/>
      <c r="D103" s="23"/>
      <c r="E103" s="23"/>
      <c r="F103" s="20"/>
      <c r="G103" s="17"/>
      <c r="H103" s="17"/>
    </row>
    <row r="104" spans="1:8">
      <c r="A104" s="10"/>
      <c r="B104" s="23"/>
      <c r="C104" s="23"/>
      <c r="D104" s="23"/>
      <c r="E104" s="23"/>
      <c r="F104" s="20"/>
      <c r="G104" s="13"/>
      <c r="H104" s="23"/>
    </row>
    <row r="105" spans="1:8">
      <c r="A105" s="8"/>
      <c r="B105" s="8"/>
      <c r="C105" s="8"/>
      <c r="D105" s="8"/>
      <c r="E105" s="8"/>
      <c r="F105" s="8"/>
      <c r="G105" s="8"/>
      <c r="H105" s="8"/>
    </row>
    <row r="106" spans="1:8">
      <c r="A106" s="8"/>
      <c r="B106" s="8"/>
      <c r="C106" s="8"/>
      <c r="D106" s="8"/>
      <c r="E106" s="8"/>
      <c r="F106" s="8"/>
      <c r="G106" s="8"/>
      <c r="H106" s="8"/>
    </row>
    <row r="107" spans="1:8">
      <c r="A107" s="8"/>
      <c r="B107" s="8"/>
      <c r="C107" s="8"/>
      <c r="D107" s="8"/>
      <c r="E107" s="8"/>
      <c r="F107" s="8"/>
      <c r="G107" s="8"/>
      <c r="H107" s="8"/>
    </row>
    <row r="108" spans="1:8">
      <c r="A108" s="8"/>
      <c r="B108" s="8"/>
      <c r="C108" s="8"/>
      <c r="D108" s="8"/>
      <c r="E108" s="8"/>
      <c r="F108" s="8"/>
      <c r="G108" s="8"/>
      <c r="H108" s="8"/>
    </row>
    <row r="109" spans="1:8">
      <c r="A109" s="8"/>
      <c r="B109" s="8"/>
      <c r="C109" s="8"/>
      <c r="D109" s="8"/>
      <c r="E109" s="8"/>
      <c r="F109" s="8"/>
      <c r="G109" s="8"/>
      <c r="H109" s="8"/>
    </row>
    <row r="110" spans="1:8">
      <c r="A110" s="8"/>
      <c r="B110" s="8"/>
      <c r="C110" s="8"/>
      <c r="D110" s="8"/>
      <c r="E110" s="8"/>
      <c r="F110" s="8"/>
      <c r="G110" s="8"/>
      <c r="H110" s="8"/>
    </row>
    <row r="111" spans="1:8">
      <c r="A111" s="8"/>
      <c r="B111" s="8"/>
      <c r="C111" s="8"/>
      <c r="D111" s="8"/>
      <c r="E111" s="8"/>
      <c r="F111" s="8"/>
      <c r="G111" s="8"/>
      <c r="H111" s="8"/>
    </row>
  </sheetData>
  <mergeCells count="20"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  <mergeCell ref="A36:H36"/>
    <mergeCell ref="A3:H3"/>
    <mergeCell ref="A8:H8"/>
    <mergeCell ref="A15:H15"/>
    <mergeCell ref="A1:G1"/>
    <mergeCell ref="A22:G22"/>
    <mergeCell ref="A24:H24"/>
    <mergeCell ref="A29:H29"/>
  </mergeCells>
  <phoneticPr fontId="9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5796-BEFF-F145-9B4E-BD8D160B7A5F}">
  <sheetPr codeName="Sheet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114"/>
  <sheetViews>
    <sheetView tabSelected="1" view="pageLayout" topLeftCell="A56" zoomScale="86" zoomScaleNormal="100" zoomScaleSheetLayoutView="125" zoomScalePageLayoutView="86" workbookViewId="0">
      <selection activeCell="G93" sqref="G93:N93"/>
    </sheetView>
  </sheetViews>
  <sheetFormatPr baseColWidth="10" defaultColWidth="9.1640625" defaultRowHeight="15"/>
  <cols>
    <col min="1" max="1" width="2.6640625" style="56" customWidth="1"/>
    <col min="2" max="2" width="13.6640625" style="74" customWidth="1"/>
    <col min="3" max="3" width="5.33203125" style="74" customWidth="1"/>
    <col min="4" max="4" width="11.5" style="74" customWidth="1"/>
    <col min="5" max="5" width="2.33203125" style="74" customWidth="1"/>
    <col min="6" max="6" width="10.83203125" style="74" customWidth="1"/>
    <col min="7" max="7" width="2.33203125" style="74" customWidth="1"/>
    <col min="8" max="8" width="3.5" style="74" customWidth="1"/>
    <col min="9" max="9" width="5.33203125" style="67" customWidth="1"/>
    <col min="10" max="10" width="16.5" style="74" customWidth="1"/>
    <col min="11" max="11" width="7.5" style="120" customWidth="1"/>
    <col min="12" max="12" width="2.5" style="120" customWidth="1"/>
    <col min="13" max="13" width="8.6640625" style="120" customWidth="1"/>
    <col min="14" max="14" width="17" style="74" customWidth="1"/>
    <col min="15" max="16384" width="9.1640625" style="56"/>
  </cols>
  <sheetData>
    <row r="1" spans="1:14" ht="21" customHeight="1">
      <c r="A1" s="143">
        <f>Bozza!A1</f>
        <v>0</v>
      </c>
      <c r="B1" s="143"/>
      <c r="C1" s="143"/>
      <c r="D1" s="143"/>
      <c r="E1" s="143"/>
      <c r="F1" s="143"/>
      <c r="G1" s="135">
        <f>Bozza!I1</f>
        <v>0</v>
      </c>
      <c r="H1" s="135"/>
      <c r="I1" s="135"/>
      <c r="J1" s="135"/>
      <c r="K1" s="135"/>
      <c r="L1" s="135"/>
      <c r="M1" s="135"/>
      <c r="N1" s="136"/>
    </row>
    <row r="2" spans="1:14" s="57" customFormat="1" ht="18.75" customHeight="1">
      <c r="B2" s="57" t="s">
        <v>0</v>
      </c>
      <c r="C2" s="58">
        <f>Bozza!B2</f>
        <v>0</v>
      </c>
      <c r="D2" s="59" t="s">
        <v>1</v>
      </c>
      <c r="E2" s="60"/>
      <c r="F2" s="61">
        <f>Bozza!D2</f>
        <v>0</v>
      </c>
      <c r="H2" s="62"/>
      <c r="I2" s="58"/>
      <c r="K2" s="59" t="s">
        <v>2</v>
      </c>
      <c r="M2" s="61">
        <f>Bozza!$G2</f>
        <v>0</v>
      </c>
    </row>
    <row r="3" spans="1:14" ht="15" customHeight="1">
      <c r="A3" s="139" t="s">
        <v>3</v>
      </c>
      <c r="B3" s="139"/>
      <c r="C3" s="139"/>
      <c r="D3" s="139"/>
      <c r="E3" s="139"/>
      <c r="F3" s="63"/>
      <c r="G3" s="64"/>
      <c r="H3" s="64"/>
      <c r="I3" s="64"/>
      <c r="J3" s="64"/>
      <c r="K3" s="64"/>
      <c r="L3" s="64"/>
      <c r="M3" s="64"/>
      <c r="N3" s="64"/>
    </row>
    <row r="4" spans="1:14" s="57" customFormat="1" ht="15" customHeight="1">
      <c r="A4" s="65" t="s">
        <v>4</v>
      </c>
      <c r="B4" s="66">
        <f>Bozza!A4</f>
        <v>0</v>
      </c>
      <c r="I4" s="67"/>
      <c r="K4" s="68"/>
      <c r="L4" s="68"/>
      <c r="M4" s="69">
        <f>Bozza!B4</f>
        <v>0</v>
      </c>
      <c r="N4" s="70"/>
    </row>
    <row r="5" spans="1:14" s="74" customFormat="1" ht="14.25" customHeight="1">
      <c r="A5" s="71" t="s">
        <v>4</v>
      </c>
      <c r="B5" s="72">
        <f>Bozza!A5</f>
        <v>0</v>
      </c>
      <c r="C5" s="73"/>
      <c r="D5" s="73"/>
      <c r="E5" s="73"/>
      <c r="F5" s="73"/>
      <c r="I5" s="75"/>
      <c r="K5" s="76"/>
      <c r="L5" s="76"/>
      <c r="M5" s="77">
        <f>Bozza!$B5</f>
        <v>0</v>
      </c>
      <c r="N5" s="78"/>
    </row>
    <row r="6" spans="1:14" s="74" customFormat="1" ht="20" customHeight="1">
      <c r="A6" s="79"/>
      <c r="B6" s="72"/>
      <c r="C6" s="73"/>
      <c r="D6" s="73"/>
      <c r="E6" s="73"/>
      <c r="F6" s="73"/>
      <c r="G6" s="80"/>
      <c r="H6" s="73"/>
      <c r="I6" s="140" t="s">
        <v>14</v>
      </c>
      <c r="J6" s="140"/>
      <c r="K6" s="81"/>
      <c r="L6" s="82"/>
      <c r="M6" s="140" t="s">
        <v>15</v>
      </c>
      <c r="N6" s="140"/>
    </row>
    <row r="7" spans="1:14" s="74" customFormat="1" ht="14.25" customHeight="1">
      <c r="A7" s="71" t="s">
        <v>4</v>
      </c>
      <c r="B7" s="83" t="s">
        <v>5</v>
      </c>
      <c r="C7" s="84"/>
      <c r="D7" s="84"/>
      <c r="E7" s="84"/>
      <c r="F7" s="84"/>
      <c r="I7" s="129" t="str">
        <f>IF(ISBLANK(Bozza!C7), "", Bozza!C7)</f>
        <v/>
      </c>
      <c r="K7" s="76"/>
      <c r="L7" s="76"/>
      <c r="M7" s="85" t="str">
        <f>IF(ISBLANK(Bozza!F7), "", Bozza!F7)</f>
        <v/>
      </c>
      <c r="N7" s="78"/>
    </row>
    <row r="8" spans="1:14" ht="18" customHeight="1">
      <c r="A8" s="141" t="s">
        <v>6</v>
      </c>
      <c r="B8" s="141"/>
      <c r="C8" s="141"/>
      <c r="D8" s="141"/>
      <c r="E8" s="63"/>
      <c r="F8" s="64"/>
      <c r="G8" s="64"/>
      <c r="H8" s="64"/>
      <c r="I8" s="64"/>
      <c r="J8" s="64"/>
      <c r="K8" s="64"/>
      <c r="L8" s="64"/>
      <c r="M8" s="64"/>
      <c r="N8" s="64"/>
    </row>
    <row r="9" spans="1:14" s="57" customFormat="1" ht="15" customHeight="1">
      <c r="A9" s="86" t="s">
        <v>4</v>
      </c>
      <c r="B9" s="87">
        <f>Bozza!A9</f>
        <v>0</v>
      </c>
      <c r="C9" s="87"/>
      <c r="D9" s="87"/>
      <c r="E9" s="87"/>
      <c r="F9" s="87"/>
      <c r="G9" s="88"/>
      <c r="H9" s="88"/>
      <c r="I9" s="129" t="str">
        <f>IF(ISBLANK(Bozza!C9), "", Bozza!C9)</f>
        <v/>
      </c>
      <c r="J9" s="88"/>
      <c r="K9" s="89"/>
      <c r="L9" s="89"/>
      <c r="M9" s="85" t="str">
        <f>IF(ISBLANK(Bozza!F9), "", Bozza!F9)</f>
        <v/>
      </c>
      <c r="N9" s="90"/>
    </row>
    <row r="10" spans="1:14" s="57" customFormat="1" ht="14" customHeight="1">
      <c r="A10" s="91"/>
      <c r="B10" s="87"/>
      <c r="C10" s="87"/>
      <c r="D10" s="87"/>
      <c r="E10" s="87"/>
      <c r="F10" s="87"/>
      <c r="G10" s="56"/>
      <c r="H10" s="74"/>
      <c r="I10" s="85" t="str">
        <f>IF(ISBLANK(Bozza!C10), "", Bozza!C10)</f>
        <v/>
      </c>
      <c r="J10" s="92"/>
      <c r="K10" s="93"/>
      <c r="L10" s="93"/>
      <c r="M10" s="85" t="str">
        <f>IF(ISBLANK(Bozza!F10), "", Bozza!F10)</f>
        <v/>
      </c>
      <c r="N10" s="94"/>
    </row>
    <row r="11" spans="1:14" s="57" customFormat="1" ht="14" customHeight="1">
      <c r="A11" s="91" t="s">
        <v>4</v>
      </c>
      <c r="B11" s="87">
        <f>Bozza!A11</f>
        <v>0</v>
      </c>
      <c r="C11" s="87"/>
      <c r="D11" s="87"/>
      <c r="E11" s="87"/>
      <c r="F11" s="87"/>
      <c r="G11" s="56"/>
      <c r="H11" s="74"/>
      <c r="I11" s="129" t="str">
        <f>IF(ISBLANK(Bozza!C11), "", Bozza!C11)</f>
        <v/>
      </c>
      <c r="J11" s="56"/>
      <c r="K11" s="93"/>
      <c r="L11" s="93"/>
      <c r="M11" s="85" t="str">
        <f>IF(ISBLANK(Bozza!F11), "", Bozza!F11)</f>
        <v/>
      </c>
      <c r="N11" s="94"/>
    </row>
    <row r="12" spans="1:14" s="57" customFormat="1" ht="15" customHeight="1">
      <c r="A12" s="91"/>
      <c r="B12" s="87"/>
      <c r="C12" s="87"/>
      <c r="D12" s="87"/>
      <c r="E12" s="87"/>
      <c r="F12" s="87"/>
      <c r="G12" s="56"/>
      <c r="H12" s="74"/>
      <c r="I12" s="85" t="str">
        <f>IF(ISBLANK(Bozza!C12), "", Bozza!C12)</f>
        <v/>
      </c>
      <c r="J12" s="92"/>
      <c r="K12" s="93"/>
      <c r="L12" s="93"/>
      <c r="M12" s="85" t="str">
        <f>IF(ISBLANK(Bozza!F12), "", Bozza!F12)</f>
        <v/>
      </c>
      <c r="N12" s="94"/>
    </row>
    <row r="13" spans="1:14" s="57" customFormat="1" ht="15" customHeight="1">
      <c r="A13" s="91" t="str">
        <f>IF(ISBLANK(Bozza!A13), "", "•")</f>
        <v/>
      </c>
      <c r="B13" s="127" t="str">
        <f>IF(ISBLANK(Bozza!A13), "", Bozza!A13)</f>
        <v/>
      </c>
      <c r="C13" s="96"/>
      <c r="D13" s="96"/>
      <c r="E13" s="96"/>
      <c r="F13" s="96"/>
      <c r="G13" s="96"/>
      <c r="H13" s="96"/>
      <c r="I13" s="129" t="str">
        <f>IF(ISBLANK(Bozza!C13), "", Bozza!C13)</f>
        <v/>
      </c>
      <c r="J13" s="96"/>
      <c r="K13" s="96"/>
      <c r="L13" s="93"/>
      <c r="M13" s="85" t="str">
        <f>IF(ISBLANK(Bozza!F13), "", Bozza!F13)</f>
        <v/>
      </c>
      <c r="N13" s="94"/>
    </row>
    <row r="14" spans="1:14" s="57" customFormat="1" ht="15" customHeight="1">
      <c r="A14" s="91"/>
      <c r="B14" s="128"/>
      <c r="C14" s="98"/>
      <c r="D14" s="98"/>
      <c r="E14" s="98"/>
      <c r="F14" s="98"/>
      <c r="G14" s="98"/>
      <c r="H14" s="98"/>
      <c r="I14" s="85" t="str">
        <f>IF(ISBLANK(Bozza!C14), "", Bozza!C14)</f>
        <v/>
      </c>
      <c r="J14" s="98"/>
      <c r="K14" s="98"/>
      <c r="L14" s="93"/>
      <c r="M14" s="85" t="str">
        <f>IF(ISBLANK(Bozza!F14), "", Bozza!F14)</f>
        <v/>
      </c>
      <c r="N14" s="94"/>
    </row>
    <row r="15" spans="1:14" s="57" customFormat="1" ht="15" customHeight="1">
      <c r="A15" s="91" t="str">
        <f>IF(ISBLANK(Bozza!A15), "", "•")</f>
        <v/>
      </c>
      <c r="B15" s="127" t="str">
        <f>IF(ISBLANK(Bozza!A15), "", Bozza!A15)</f>
        <v/>
      </c>
      <c r="C15" s="98"/>
      <c r="D15" s="98"/>
      <c r="E15" s="98"/>
      <c r="F15" s="98"/>
      <c r="G15" s="98"/>
      <c r="H15" s="98"/>
      <c r="I15" s="129" t="str">
        <f>IF(ISBLANK(Bozza!C15), "", Bozza!C15)</f>
        <v/>
      </c>
      <c r="J15" s="98"/>
      <c r="K15" s="98"/>
      <c r="L15" s="93"/>
      <c r="M15" s="85" t="str">
        <f>IF(ISBLANK(Bozza!F15), "", Bozza!F15)</f>
        <v/>
      </c>
      <c r="N15" s="94"/>
    </row>
    <row r="16" spans="1:14" s="57" customFormat="1" ht="14" customHeight="1">
      <c r="A16" s="99"/>
      <c r="B16" s="100"/>
      <c r="C16" s="87"/>
      <c r="D16" s="87"/>
      <c r="E16" s="87"/>
      <c r="F16" s="87"/>
      <c r="G16" s="56"/>
      <c r="H16" s="74"/>
      <c r="I16" s="85" t="str">
        <f>IF(ISBLANK(Bozza!C16), "", Bozza!C16)</f>
        <v/>
      </c>
      <c r="J16" s="92"/>
      <c r="K16" s="93"/>
      <c r="L16" s="93"/>
      <c r="M16" s="85" t="str">
        <f>IF(ISBLANK(Bozza!F16), "", Bozza!F16)</f>
        <v/>
      </c>
      <c r="N16" s="94"/>
    </row>
    <row r="17" spans="1:14" ht="15" customHeight="1">
      <c r="A17" s="142" t="s">
        <v>7</v>
      </c>
      <c r="B17" s="142"/>
      <c r="C17" s="142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</row>
    <row r="18" spans="1:14" s="104" customFormat="1" ht="17" customHeight="1">
      <c r="A18" s="101" t="s">
        <v>4</v>
      </c>
      <c r="B18" s="60" t="s">
        <v>8</v>
      </c>
      <c r="C18" s="102">
        <f>Bozza!B18</f>
        <v>0</v>
      </c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</row>
    <row r="19" spans="1:14" s="73" customFormat="1" ht="15" customHeight="1">
      <c r="A19" s="105" t="s">
        <v>4</v>
      </c>
      <c r="B19" s="106">
        <f>Bozza!A19</f>
        <v>0</v>
      </c>
      <c r="C19" s="106"/>
      <c r="D19" s="106"/>
      <c r="E19" s="106"/>
      <c r="F19" s="106"/>
      <c r="G19" s="106"/>
      <c r="H19" s="106"/>
      <c r="I19" s="106"/>
      <c r="J19" s="106"/>
      <c r="K19" s="106"/>
      <c r="M19" s="107">
        <f>Bozza!B19</f>
        <v>0</v>
      </c>
      <c r="N19" s="108"/>
    </row>
    <row r="20" spans="1:14" s="74" customFormat="1" ht="14" customHeight="1">
      <c r="A20" s="105" t="str">
        <f>IF(ISBLANK(Bozza!A20), "", "•")</f>
        <v/>
      </c>
      <c r="B20" s="137" t="str">
        <f>IF(ISBLANK(Bozza!A20), "", Bozza!A20)</f>
        <v/>
      </c>
      <c r="C20" s="138"/>
      <c r="D20" s="138"/>
      <c r="E20" s="138"/>
      <c r="F20" s="138"/>
      <c r="G20" s="138"/>
      <c r="H20" s="138"/>
      <c r="I20" s="138"/>
      <c r="J20" s="138"/>
      <c r="K20" s="138"/>
      <c r="L20" s="109"/>
      <c r="M20" s="107" t="str">
        <f>IF(ISBLANK(Bozza!B20), "", Bozza!B20)</f>
        <v/>
      </c>
      <c r="N20" s="78"/>
    </row>
    <row r="21" spans="1:14" s="57" customFormat="1" ht="14.25" customHeight="1">
      <c r="A21" s="101" t="s">
        <v>4</v>
      </c>
      <c r="B21" s="106" t="s">
        <v>9</v>
      </c>
      <c r="C21" s="106"/>
      <c r="D21" s="106"/>
      <c r="E21" s="106"/>
      <c r="F21" s="59" t="s">
        <v>10</v>
      </c>
      <c r="H21" s="107">
        <f>Bozza!$B21</f>
        <v>0</v>
      </c>
      <c r="K21" s="59" t="s">
        <v>11</v>
      </c>
      <c r="L21" s="59"/>
      <c r="M21" s="107">
        <f>Bozza!$G21</f>
        <v>0</v>
      </c>
      <c r="N21" s="110"/>
    </row>
    <row r="22" spans="1:14" s="74" customFormat="1" ht="14">
      <c r="A22" s="105" t="s">
        <v>4</v>
      </c>
      <c r="B22" s="73" t="s">
        <v>12</v>
      </c>
      <c r="C22" s="111">
        <f>Bozza!B22</f>
        <v>0</v>
      </c>
      <c r="I22" s="67"/>
      <c r="J22" s="73"/>
      <c r="K22" s="112" t="s">
        <v>13</v>
      </c>
      <c r="M22" s="107">
        <f>Bozza!$G22</f>
        <v>0</v>
      </c>
      <c r="N22" s="78"/>
    </row>
    <row r="23" spans="1:14" ht="14.25" customHeight="1">
      <c r="A23" s="113"/>
      <c r="B23" s="114"/>
      <c r="C23" s="115"/>
      <c r="D23" s="115"/>
      <c r="E23" s="115"/>
      <c r="F23" s="116"/>
      <c r="G23" s="116"/>
      <c r="H23" s="116"/>
      <c r="I23" s="115"/>
      <c r="J23" s="114"/>
      <c r="K23" s="74"/>
      <c r="L23" s="74"/>
      <c r="M23" s="117"/>
    </row>
    <row r="24" spans="1:14" ht="21" customHeight="1">
      <c r="A24" s="144">
        <f>Bozza!A24</f>
        <v>0</v>
      </c>
      <c r="B24" s="144"/>
      <c r="C24" s="144"/>
      <c r="D24" s="144"/>
      <c r="E24" s="144"/>
      <c r="F24" s="144"/>
      <c r="G24" s="135">
        <f>Bozza!I24</f>
        <v>0</v>
      </c>
      <c r="H24" s="135"/>
      <c r="I24" s="135"/>
      <c r="J24" s="135"/>
      <c r="K24" s="135"/>
      <c r="L24" s="135"/>
      <c r="M24" s="135"/>
      <c r="N24" s="136"/>
    </row>
    <row r="25" spans="1:14" s="118" customFormat="1" ht="15" customHeight="1">
      <c r="A25" s="57"/>
      <c r="B25" s="57" t="s">
        <v>0</v>
      </c>
      <c r="C25" s="58">
        <f>Bozza!B25</f>
        <v>0</v>
      </c>
      <c r="D25" s="59" t="s">
        <v>1</v>
      </c>
      <c r="E25" s="60"/>
      <c r="F25" s="61">
        <f>Bozza!D25</f>
        <v>0</v>
      </c>
      <c r="G25" s="57"/>
      <c r="H25" s="62"/>
      <c r="I25" s="58"/>
      <c r="J25" s="57"/>
      <c r="K25" s="59" t="s">
        <v>2</v>
      </c>
      <c r="L25" s="57"/>
      <c r="M25" s="61">
        <f>Bozza!$G25</f>
        <v>0</v>
      </c>
      <c r="N25" s="57"/>
    </row>
    <row r="26" spans="1:14" s="80" customFormat="1" ht="21" customHeight="1">
      <c r="A26" s="139" t="s">
        <v>3</v>
      </c>
      <c r="B26" s="139"/>
      <c r="C26" s="139"/>
      <c r="D26" s="139"/>
      <c r="E26" s="139"/>
      <c r="F26" s="63"/>
      <c r="G26" s="64"/>
      <c r="H26" s="64"/>
      <c r="I26" s="64"/>
      <c r="J26" s="64"/>
      <c r="K26" s="64"/>
      <c r="L26" s="64"/>
      <c r="M26" s="64"/>
      <c r="N26" s="64"/>
    </row>
    <row r="27" spans="1:14" s="88" customFormat="1" ht="19" customHeight="1">
      <c r="A27" s="65" t="s">
        <v>4</v>
      </c>
      <c r="B27" s="66">
        <f>Bozza!A27</f>
        <v>0</v>
      </c>
      <c r="C27" s="57"/>
      <c r="D27" s="57"/>
      <c r="E27" s="57"/>
      <c r="F27" s="57"/>
      <c r="G27" s="57"/>
      <c r="H27" s="57"/>
      <c r="I27" s="67"/>
      <c r="J27" s="57"/>
      <c r="K27" s="68"/>
      <c r="L27" s="68"/>
      <c r="M27" s="69">
        <f>Bozza!B27</f>
        <v>0</v>
      </c>
      <c r="N27" s="70"/>
    </row>
    <row r="28" spans="1:14" ht="14" customHeight="1">
      <c r="A28" s="71" t="s">
        <v>4</v>
      </c>
      <c r="B28" s="72">
        <f>Bozza!A28</f>
        <v>0</v>
      </c>
      <c r="C28" s="73"/>
      <c r="D28" s="73"/>
      <c r="E28" s="73"/>
      <c r="F28" s="73"/>
      <c r="I28" s="75"/>
      <c r="K28" s="76"/>
      <c r="L28" s="76"/>
      <c r="M28" s="77">
        <f>Bozza!$B28</f>
        <v>0</v>
      </c>
      <c r="N28" s="78"/>
    </row>
    <row r="29" spans="1:14" s="80" customFormat="1" ht="17" customHeight="1">
      <c r="A29" s="79"/>
      <c r="B29" s="72"/>
      <c r="C29" s="73"/>
      <c r="D29" s="73"/>
      <c r="E29" s="73"/>
      <c r="F29" s="73"/>
      <c r="H29" s="73"/>
      <c r="I29" s="140" t="s">
        <v>14</v>
      </c>
      <c r="J29" s="140"/>
      <c r="K29" s="81"/>
      <c r="L29" s="82"/>
      <c r="M29" s="140" t="s">
        <v>15</v>
      </c>
      <c r="N29" s="140"/>
    </row>
    <row r="30" spans="1:14" ht="14" customHeight="1">
      <c r="A30" s="71" t="s">
        <v>4</v>
      </c>
      <c r="B30" s="83" t="s">
        <v>5</v>
      </c>
      <c r="C30" s="84"/>
      <c r="D30" s="84"/>
      <c r="E30" s="84"/>
      <c r="F30" s="84"/>
      <c r="I30" s="129" t="str">
        <f>IF(ISBLANK(Bozza!C30), "", Bozza!C30)</f>
        <v/>
      </c>
      <c r="K30" s="76"/>
      <c r="L30" s="76"/>
      <c r="M30" s="85" t="str">
        <f>IF(ISBLANK(Bozza!F30), "", Bozza!F30)</f>
        <v/>
      </c>
      <c r="N30" s="78"/>
    </row>
    <row r="31" spans="1:14" s="80" customFormat="1" ht="18" customHeight="1">
      <c r="A31" s="141" t="s">
        <v>6</v>
      </c>
      <c r="B31" s="141"/>
      <c r="C31" s="141"/>
      <c r="D31" s="141"/>
      <c r="E31" s="63"/>
      <c r="F31" s="64"/>
      <c r="G31" s="64"/>
      <c r="H31" s="64"/>
      <c r="I31" s="64"/>
      <c r="J31" s="64"/>
      <c r="K31" s="64"/>
      <c r="L31" s="64"/>
      <c r="M31" s="64"/>
      <c r="N31" s="64"/>
    </row>
    <row r="32" spans="1:14" s="88" customFormat="1" ht="17" customHeight="1">
      <c r="A32" s="86" t="s">
        <v>4</v>
      </c>
      <c r="B32" s="87">
        <f>Bozza!A32</f>
        <v>0</v>
      </c>
      <c r="C32" s="87"/>
      <c r="D32" s="87"/>
      <c r="E32" s="87"/>
      <c r="F32" s="87"/>
      <c r="I32" s="129" t="str">
        <f>IF(ISBLANK(Bozza!C32), "", Bozza!C32)</f>
        <v/>
      </c>
      <c r="K32" s="89"/>
      <c r="L32" s="89"/>
      <c r="M32" s="85" t="str">
        <f>IF(ISBLANK(Bozza!F32), "", Bozza!F32)</f>
        <v/>
      </c>
      <c r="N32" s="90"/>
    </row>
    <row r="33" spans="1:14" ht="14" customHeight="1">
      <c r="A33" s="91"/>
      <c r="B33" s="87"/>
      <c r="C33" s="87"/>
      <c r="D33" s="87"/>
      <c r="E33" s="87"/>
      <c r="F33" s="87"/>
      <c r="G33" s="56"/>
      <c r="I33" s="85" t="str">
        <f>IF(ISBLANK(Bozza!C33), "", Bozza!C33)</f>
        <v/>
      </c>
      <c r="J33" s="92"/>
      <c r="K33" s="93"/>
      <c r="L33" s="93"/>
      <c r="M33" s="85" t="str">
        <f>IF(ISBLANK(Bozza!F33), "", Bozza!F33)</f>
        <v/>
      </c>
      <c r="N33" s="94"/>
    </row>
    <row r="34" spans="1:14" ht="15" customHeight="1">
      <c r="A34" s="91" t="s">
        <v>4</v>
      </c>
      <c r="B34" s="87">
        <f>Bozza!A34</f>
        <v>0</v>
      </c>
      <c r="C34" s="87"/>
      <c r="D34" s="87"/>
      <c r="E34" s="87"/>
      <c r="F34" s="87"/>
      <c r="G34" s="56"/>
      <c r="I34" s="129" t="str">
        <f>IF(ISBLANK(Bozza!C34), "", Bozza!C34)</f>
        <v/>
      </c>
      <c r="J34" s="56"/>
      <c r="K34" s="93"/>
      <c r="L34" s="93"/>
      <c r="M34" s="85" t="str">
        <f>IF(ISBLANK(Bozza!F34), "", Bozza!F34)</f>
        <v/>
      </c>
      <c r="N34" s="94"/>
    </row>
    <row r="35" spans="1:14" ht="14" customHeight="1">
      <c r="A35" s="91"/>
      <c r="B35" s="87"/>
      <c r="C35" s="87"/>
      <c r="D35" s="87"/>
      <c r="E35" s="87"/>
      <c r="F35" s="87"/>
      <c r="G35" s="56"/>
      <c r="I35" s="85" t="str">
        <f>IF(ISBLANK(Bozza!C35), "", Bozza!C35)</f>
        <v/>
      </c>
      <c r="J35" s="92"/>
      <c r="K35" s="93"/>
      <c r="L35" s="93"/>
      <c r="M35" s="85" t="str">
        <f>IF(ISBLANK(Bozza!F35), "", Bozza!F35)</f>
        <v/>
      </c>
      <c r="N35" s="94"/>
    </row>
    <row r="36" spans="1:14" ht="16" customHeight="1">
      <c r="A36" s="91" t="str">
        <f>IF(ISBLANK(Bozza!A36), "", "•")</f>
        <v/>
      </c>
      <c r="B36" s="95" t="str">
        <f>IF(ISBLANK(Bozza!A36), "", Bozza!A36)</f>
        <v/>
      </c>
      <c r="C36" s="96"/>
      <c r="D36" s="96"/>
      <c r="E36" s="96"/>
      <c r="F36" s="96"/>
      <c r="G36" s="96"/>
      <c r="H36" s="96"/>
      <c r="I36" s="129" t="str">
        <f>IF(ISBLANK(Bozza!C36), "", Bozza!C36)</f>
        <v/>
      </c>
      <c r="J36" s="96"/>
      <c r="K36" s="96"/>
      <c r="L36" s="93"/>
      <c r="M36" s="85" t="str">
        <f>IF(ISBLANK(Bozza!F36), "", Bozza!F36)</f>
        <v/>
      </c>
      <c r="N36" s="94"/>
    </row>
    <row r="37" spans="1:14" ht="16" customHeight="1">
      <c r="A37" s="91"/>
      <c r="B37" s="97"/>
      <c r="C37" s="98"/>
      <c r="D37" s="98"/>
      <c r="E37" s="98"/>
      <c r="F37" s="98"/>
      <c r="G37" s="98"/>
      <c r="H37" s="98"/>
      <c r="I37" s="85" t="str">
        <f>IF(ISBLANK(Bozza!C37), "", Bozza!C37)</f>
        <v/>
      </c>
      <c r="J37" s="98"/>
      <c r="K37" s="98"/>
      <c r="L37" s="93"/>
      <c r="M37" s="85" t="str">
        <f>IF(ISBLANK(Bozza!F37), "", Bozza!F37)</f>
        <v/>
      </c>
      <c r="N37" s="94"/>
    </row>
    <row r="38" spans="1:14" ht="16" customHeight="1">
      <c r="A38" s="91" t="str">
        <f>IF(ISBLANK(Bozza!A38), "", "•")</f>
        <v/>
      </c>
      <c r="B38" s="127" t="str">
        <f>IF(ISBLANK(Bozza!A38), "", Bozza!A38)</f>
        <v/>
      </c>
      <c r="C38" s="98"/>
      <c r="D38" s="98"/>
      <c r="E38" s="98"/>
      <c r="F38" s="98"/>
      <c r="G38" s="98"/>
      <c r="H38" s="98"/>
      <c r="I38" s="129" t="str">
        <f>IF(ISBLANK(Bozza!C38), "", Bozza!C38)</f>
        <v/>
      </c>
      <c r="J38" s="98"/>
      <c r="K38" s="98"/>
      <c r="L38" s="93"/>
      <c r="M38" s="85" t="str">
        <f>IF(ISBLANK(Bozza!F38), "", Bozza!F38)</f>
        <v/>
      </c>
      <c r="N38" s="94"/>
    </row>
    <row r="39" spans="1:14" ht="14" customHeight="1">
      <c r="A39" s="99"/>
      <c r="B39" s="100"/>
      <c r="C39" s="87"/>
      <c r="D39" s="87"/>
      <c r="E39" s="87"/>
      <c r="F39" s="87"/>
      <c r="G39" s="56"/>
      <c r="I39" s="85" t="str">
        <f>IF(ISBLANK(Bozza!C39), "", Bozza!C39)</f>
        <v/>
      </c>
      <c r="J39" s="92"/>
      <c r="K39" s="93"/>
      <c r="L39" s="93"/>
      <c r="M39" s="85" t="str">
        <f>IF(ISBLANK(Bozza!F39), "", Bozza!F39)</f>
        <v/>
      </c>
      <c r="N39" s="94"/>
    </row>
    <row r="40" spans="1:14" s="80" customFormat="1" ht="16" customHeight="1">
      <c r="A40" s="142" t="s">
        <v>7</v>
      </c>
      <c r="B40" s="142"/>
      <c r="C40" s="142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</row>
    <row r="41" spans="1:14" s="88" customFormat="1" ht="14" customHeight="1">
      <c r="A41" s="101" t="s">
        <v>4</v>
      </c>
      <c r="B41" s="60" t="s">
        <v>8</v>
      </c>
      <c r="C41" s="102">
        <f>Bozza!B41</f>
        <v>0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</row>
    <row r="42" spans="1:14" ht="14" customHeight="1">
      <c r="A42" s="105" t="s">
        <v>4</v>
      </c>
      <c r="B42" s="106">
        <f>Bozza!A42</f>
        <v>0</v>
      </c>
      <c r="C42" s="106"/>
      <c r="D42" s="106"/>
      <c r="E42" s="106"/>
      <c r="F42" s="106"/>
      <c r="G42" s="106"/>
      <c r="H42" s="106"/>
      <c r="I42" s="106"/>
      <c r="J42" s="106"/>
      <c r="K42" s="106"/>
      <c r="L42" s="73"/>
      <c r="M42" s="107">
        <f>Bozza!B42</f>
        <v>0</v>
      </c>
      <c r="N42" s="108"/>
    </row>
    <row r="43" spans="1:14" ht="14" customHeight="1">
      <c r="A43" s="105" t="str">
        <f>IF(ISBLANK(Bozza!A43), "", "•")</f>
        <v/>
      </c>
      <c r="B43" s="137" t="str">
        <f>IF(ISBLANK(Bozza!A43), "", Bozza!A43)</f>
        <v/>
      </c>
      <c r="C43" s="138"/>
      <c r="D43" s="138"/>
      <c r="E43" s="138"/>
      <c r="F43" s="138"/>
      <c r="G43" s="138"/>
      <c r="H43" s="138"/>
      <c r="I43" s="138"/>
      <c r="J43" s="138"/>
      <c r="K43" s="138"/>
      <c r="L43" s="109"/>
      <c r="M43" s="107" t="str">
        <f>IF(ISBLANK(Bozza!B43), "", Bozza!B43)</f>
        <v/>
      </c>
      <c r="N43" s="78"/>
    </row>
    <row r="44" spans="1:14" ht="13" customHeight="1">
      <c r="A44" s="101" t="s">
        <v>4</v>
      </c>
      <c r="B44" s="106" t="s">
        <v>9</v>
      </c>
      <c r="C44" s="106"/>
      <c r="D44" s="106"/>
      <c r="E44" s="106"/>
      <c r="F44" s="59" t="s">
        <v>10</v>
      </c>
      <c r="G44" s="57"/>
      <c r="H44" s="107">
        <f>Bozza!$B44</f>
        <v>0</v>
      </c>
      <c r="I44" s="57"/>
      <c r="J44" s="57"/>
      <c r="K44" s="59" t="s">
        <v>11</v>
      </c>
      <c r="L44" s="59"/>
      <c r="M44" s="107">
        <f>Bozza!$G44</f>
        <v>0</v>
      </c>
      <c r="N44" s="110"/>
    </row>
    <row r="45" spans="1:14" ht="19" customHeight="1">
      <c r="A45" s="105" t="s">
        <v>4</v>
      </c>
      <c r="B45" s="73" t="s">
        <v>12</v>
      </c>
      <c r="C45" s="111">
        <f>Bozza!B45</f>
        <v>0</v>
      </c>
      <c r="J45" s="73"/>
      <c r="K45" s="112" t="s">
        <v>13</v>
      </c>
      <c r="L45" s="74"/>
      <c r="M45" s="107">
        <f>Bozza!$G45</f>
        <v>0</v>
      </c>
      <c r="N45" s="78"/>
    </row>
    <row r="46" spans="1:14" ht="16" customHeight="1">
      <c r="A46" s="113"/>
      <c r="B46" s="114"/>
      <c r="C46" s="107"/>
      <c r="D46" s="115"/>
      <c r="E46" s="115"/>
      <c r="F46" s="116"/>
      <c r="G46" s="116"/>
      <c r="H46" s="116"/>
      <c r="I46" s="115"/>
      <c r="J46" s="114"/>
      <c r="K46" s="74"/>
      <c r="L46" s="74"/>
      <c r="M46" s="117"/>
    </row>
    <row r="47" spans="1:14" ht="22" customHeight="1">
      <c r="A47" s="143">
        <f>Bozza!A47</f>
        <v>0</v>
      </c>
      <c r="B47" s="143"/>
      <c r="C47" s="143"/>
      <c r="D47" s="143"/>
      <c r="E47" s="143"/>
      <c r="F47" s="143"/>
      <c r="G47" s="135">
        <f>Bozza!I47</f>
        <v>0</v>
      </c>
      <c r="H47" s="135"/>
      <c r="I47" s="135"/>
      <c r="J47" s="135"/>
      <c r="K47" s="135"/>
      <c r="L47" s="135"/>
      <c r="M47" s="135"/>
      <c r="N47" s="136"/>
    </row>
    <row r="48" spans="1:14" s="88" customFormat="1" ht="14" customHeight="1">
      <c r="A48" s="57"/>
      <c r="B48" s="57" t="s">
        <v>0</v>
      </c>
      <c r="C48" s="58">
        <f>Bozza!B48</f>
        <v>0</v>
      </c>
      <c r="D48" s="59" t="s">
        <v>1</v>
      </c>
      <c r="E48" s="60"/>
      <c r="F48" s="61">
        <f>Bozza!D48</f>
        <v>0</v>
      </c>
      <c r="G48" s="57"/>
      <c r="H48" s="62"/>
      <c r="I48" s="58"/>
      <c r="J48" s="57"/>
      <c r="K48" s="59" t="s">
        <v>2</v>
      </c>
      <c r="L48" s="57"/>
      <c r="M48" s="61">
        <f>Bozza!$G48</f>
        <v>0</v>
      </c>
      <c r="N48" s="57"/>
    </row>
    <row r="49" spans="1:14" ht="17" customHeight="1">
      <c r="A49" s="139" t="s">
        <v>3</v>
      </c>
      <c r="B49" s="139"/>
      <c r="C49" s="139"/>
      <c r="D49" s="139"/>
      <c r="E49" s="139"/>
      <c r="F49" s="63"/>
      <c r="G49" s="64"/>
      <c r="H49" s="64"/>
      <c r="I49" s="64"/>
      <c r="J49" s="64"/>
      <c r="K49" s="64"/>
      <c r="L49" s="64"/>
      <c r="M49" s="64"/>
      <c r="N49" s="64"/>
    </row>
    <row r="50" spans="1:14" s="88" customFormat="1" ht="13" customHeight="1">
      <c r="A50" s="65" t="s">
        <v>4</v>
      </c>
      <c r="B50" s="66">
        <f>Bozza!A50</f>
        <v>0</v>
      </c>
      <c r="C50" s="57"/>
      <c r="D50" s="57"/>
      <c r="E50" s="57"/>
      <c r="F50" s="57"/>
      <c r="G50" s="57"/>
      <c r="H50" s="57"/>
      <c r="I50" s="67"/>
      <c r="J50" s="57"/>
      <c r="K50" s="68"/>
      <c r="L50" s="68"/>
      <c r="M50" s="69">
        <f>Bozza!B50</f>
        <v>0</v>
      </c>
      <c r="N50" s="70"/>
    </row>
    <row r="51" spans="1:14" ht="15" customHeight="1">
      <c r="A51" s="71" t="s">
        <v>4</v>
      </c>
      <c r="B51" s="72">
        <f>Bozza!A51</f>
        <v>0</v>
      </c>
      <c r="C51" s="73"/>
      <c r="D51" s="73"/>
      <c r="E51" s="73"/>
      <c r="F51" s="73"/>
      <c r="I51" s="75"/>
      <c r="K51" s="76"/>
      <c r="L51" s="76"/>
      <c r="M51" s="77">
        <f>Bozza!$B51</f>
        <v>0</v>
      </c>
      <c r="N51" s="78"/>
    </row>
    <row r="52" spans="1:14" ht="18.75" customHeight="1">
      <c r="A52" s="79"/>
      <c r="B52" s="72"/>
      <c r="C52" s="73"/>
      <c r="D52" s="73"/>
      <c r="E52" s="73"/>
      <c r="F52" s="73"/>
      <c r="G52" s="80"/>
      <c r="H52" s="73"/>
      <c r="I52" s="140" t="s">
        <v>14</v>
      </c>
      <c r="J52" s="140"/>
      <c r="K52" s="81"/>
      <c r="L52" s="82"/>
      <c r="M52" s="140" t="s">
        <v>15</v>
      </c>
      <c r="N52" s="140"/>
    </row>
    <row r="53" spans="1:14" ht="14" customHeight="1">
      <c r="A53" s="71" t="s">
        <v>4</v>
      </c>
      <c r="B53" s="83" t="s">
        <v>5</v>
      </c>
      <c r="C53" s="84"/>
      <c r="D53" s="84"/>
      <c r="E53" s="84"/>
      <c r="F53" s="84"/>
      <c r="I53" s="129" t="str">
        <f>IF(ISBLANK(Bozza!C53), "", Bozza!C53)</f>
        <v/>
      </c>
      <c r="K53" s="76"/>
      <c r="L53" s="76"/>
      <c r="M53" s="85" t="str">
        <f>IF(ISBLANK(Bozza!F53), "", Bozza!F53)</f>
        <v/>
      </c>
      <c r="N53" s="78"/>
    </row>
    <row r="54" spans="1:14" ht="15" customHeight="1">
      <c r="A54" s="141" t="s">
        <v>6</v>
      </c>
      <c r="B54" s="141"/>
      <c r="C54" s="141"/>
      <c r="D54" s="141"/>
      <c r="E54" s="63"/>
      <c r="F54" s="64"/>
      <c r="G54" s="64"/>
      <c r="H54" s="64"/>
      <c r="I54" s="64"/>
      <c r="J54" s="64"/>
      <c r="K54" s="64"/>
      <c r="L54" s="64"/>
      <c r="M54" s="64"/>
      <c r="N54" s="64"/>
    </row>
    <row r="55" spans="1:14" s="88" customFormat="1" ht="14.25" customHeight="1">
      <c r="A55" s="86" t="s">
        <v>4</v>
      </c>
      <c r="B55" s="87">
        <f>Bozza!A55</f>
        <v>0</v>
      </c>
      <c r="C55" s="87"/>
      <c r="D55" s="87"/>
      <c r="E55" s="87"/>
      <c r="F55" s="87"/>
      <c r="I55" s="129" t="str">
        <f>IF(ISBLANK(Bozza!C55), "", Bozza!C55)</f>
        <v/>
      </c>
      <c r="K55" s="89"/>
      <c r="L55" s="89"/>
      <c r="M55" s="85" t="str">
        <f>IF(ISBLANK(Bozza!F55), "", Bozza!F55)</f>
        <v/>
      </c>
      <c r="N55" s="90"/>
    </row>
    <row r="56" spans="1:14" ht="14" customHeight="1">
      <c r="A56" s="91"/>
      <c r="B56" s="87"/>
      <c r="C56" s="87"/>
      <c r="D56" s="87"/>
      <c r="E56" s="87"/>
      <c r="F56" s="87"/>
      <c r="G56" s="56"/>
      <c r="I56" s="85" t="str">
        <f>IF(ISBLANK(Bozza!C56), "", Bozza!C56)</f>
        <v/>
      </c>
      <c r="J56" s="92"/>
      <c r="K56" s="93"/>
      <c r="L56" s="93"/>
      <c r="M56" s="85" t="str">
        <f>IF(ISBLANK(Bozza!F56), "", Bozza!F56)</f>
        <v/>
      </c>
      <c r="N56" s="94"/>
    </row>
    <row r="57" spans="1:14" ht="14.25" customHeight="1">
      <c r="A57" s="91" t="s">
        <v>4</v>
      </c>
      <c r="B57" s="87">
        <f>Bozza!A57</f>
        <v>0</v>
      </c>
      <c r="C57" s="87"/>
      <c r="D57" s="87"/>
      <c r="E57" s="87"/>
      <c r="F57" s="87"/>
      <c r="G57" s="56"/>
      <c r="I57" s="129" t="str">
        <f>IF(ISBLANK(Bozza!C57), "", Bozza!C57)</f>
        <v/>
      </c>
      <c r="J57" s="56"/>
      <c r="K57" s="93"/>
      <c r="L57" s="93"/>
      <c r="M57" s="85" t="str">
        <f>IF(ISBLANK(Bozza!F57), "", Bozza!F57)</f>
        <v/>
      </c>
      <c r="N57" s="94"/>
    </row>
    <row r="58" spans="1:14" ht="13" customHeight="1">
      <c r="A58" s="91"/>
      <c r="B58" s="87"/>
      <c r="C58" s="87"/>
      <c r="D58" s="87"/>
      <c r="E58" s="87"/>
      <c r="F58" s="87"/>
      <c r="G58" s="56"/>
      <c r="I58" s="85" t="str">
        <f>IF(ISBLANK(Bozza!C58), "", Bozza!C58)</f>
        <v/>
      </c>
      <c r="J58" s="92"/>
      <c r="K58" s="93"/>
      <c r="L58" s="93"/>
      <c r="M58" s="85" t="str">
        <f>IF(ISBLANK(Bozza!F58), "", Bozza!F58)</f>
        <v/>
      </c>
      <c r="N58" s="94"/>
    </row>
    <row r="59" spans="1:14" ht="15" customHeight="1">
      <c r="A59" s="91" t="str">
        <f>IF(ISBLANK(Bozza!A59), "", "•")</f>
        <v/>
      </c>
      <c r="B59" s="127" t="str">
        <f>IF(ISBLANK(Bozza!A59), "", Bozza!A59)</f>
        <v/>
      </c>
      <c r="C59" s="96"/>
      <c r="D59" s="96"/>
      <c r="E59" s="96"/>
      <c r="F59" s="96"/>
      <c r="G59" s="96"/>
      <c r="H59" s="96"/>
      <c r="I59" s="129" t="str">
        <f>IF(ISBLANK(Bozza!C59), "", Bozza!C59)</f>
        <v/>
      </c>
      <c r="J59" s="96"/>
      <c r="K59" s="96"/>
      <c r="L59" s="93"/>
      <c r="M59" s="85" t="str">
        <f>IF(ISBLANK(Bozza!F59), "", Bozza!F59)</f>
        <v/>
      </c>
      <c r="N59" s="94"/>
    </row>
    <row r="60" spans="1:14" ht="14" customHeight="1">
      <c r="A60" s="91"/>
      <c r="B60" s="128"/>
      <c r="C60" s="98"/>
      <c r="D60" s="98"/>
      <c r="E60" s="98"/>
      <c r="F60" s="98"/>
      <c r="G60" s="98"/>
      <c r="H60" s="98"/>
      <c r="I60" s="85" t="str">
        <f>IF(ISBLANK(Bozza!C60), "", Bozza!C60)</f>
        <v/>
      </c>
      <c r="J60" s="98"/>
      <c r="K60" s="98"/>
      <c r="L60" s="93"/>
      <c r="M60" s="85" t="str">
        <f>IF(ISBLANK(Bozza!F60), "", Bozza!F60)</f>
        <v/>
      </c>
      <c r="N60" s="94"/>
    </row>
    <row r="61" spans="1:14" ht="14" customHeight="1">
      <c r="A61" s="91" t="str">
        <f>IF(ISBLANK(Bozza!A61), "", "•")</f>
        <v/>
      </c>
      <c r="B61" s="127" t="str">
        <f>IF(ISBLANK(Bozza!A61), "", Bozza!A61)</f>
        <v/>
      </c>
      <c r="C61" s="98"/>
      <c r="D61" s="98"/>
      <c r="E61" s="98"/>
      <c r="F61" s="98"/>
      <c r="G61" s="98"/>
      <c r="H61" s="98"/>
      <c r="I61" s="129" t="str">
        <f>IF(ISBLANK(Bozza!C61), "", Bozza!C61)</f>
        <v/>
      </c>
      <c r="J61" s="98"/>
      <c r="K61" s="98"/>
      <c r="L61" s="93"/>
      <c r="M61" s="85" t="str">
        <f>IF(ISBLANK(Bozza!F61), "", Bozza!F61)</f>
        <v/>
      </c>
      <c r="N61" s="94"/>
    </row>
    <row r="62" spans="1:14" ht="13.5" customHeight="1">
      <c r="A62" s="99"/>
      <c r="B62" s="100"/>
      <c r="C62" s="87"/>
      <c r="D62" s="87"/>
      <c r="E62" s="87"/>
      <c r="F62" s="87"/>
      <c r="G62" s="56"/>
      <c r="I62" s="85" t="str">
        <f>IF(ISBLANK(Bozza!C62), "", Bozza!C62)</f>
        <v/>
      </c>
      <c r="J62" s="92"/>
      <c r="K62" s="93"/>
      <c r="L62" s="93"/>
      <c r="M62" s="85" t="str">
        <f>IF(ISBLANK(Bozza!F62), "", Bozza!F62)</f>
        <v/>
      </c>
      <c r="N62" s="94"/>
    </row>
    <row r="63" spans="1:14" ht="14.25" customHeight="1">
      <c r="A63" s="142" t="s">
        <v>7</v>
      </c>
      <c r="B63" s="142"/>
      <c r="C63" s="142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</row>
    <row r="64" spans="1:14" s="88" customFormat="1" ht="13.5" customHeight="1">
      <c r="A64" s="101" t="s">
        <v>4</v>
      </c>
      <c r="B64" s="60" t="s">
        <v>8</v>
      </c>
      <c r="C64" s="102">
        <f>Bozza!B64</f>
        <v>0</v>
      </c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</row>
    <row r="65" spans="1:14" ht="14.25" customHeight="1">
      <c r="A65" s="105" t="s">
        <v>4</v>
      </c>
      <c r="B65" s="106">
        <f>Bozza!A65</f>
        <v>0</v>
      </c>
      <c r="C65" s="106"/>
      <c r="D65" s="106"/>
      <c r="E65" s="106"/>
      <c r="F65" s="106"/>
      <c r="G65" s="106"/>
      <c r="H65" s="106"/>
      <c r="I65" s="106"/>
      <c r="J65" s="106"/>
      <c r="K65" s="106"/>
      <c r="L65" s="73"/>
      <c r="M65" s="107">
        <f>Bozza!B65</f>
        <v>0</v>
      </c>
      <c r="N65" s="108"/>
    </row>
    <row r="66" spans="1:14" ht="13.5" customHeight="1">
      <c r="A66" s="105" t="str">
        <f>IF(ISBLANK(Bozza!A66), "", "•")</f>
        <v/>
      </c>
      <c r="B66" s="137" t="str">
        <f>IF(ISBLANK(Bozza!A66), "", Bozza!A66)</f>
        <v/>
      </c>
      <c r="C66" s="138"/>
      <c r="D66" s="138"/>
      <c r="E66" s="138"/>
      <c r="F66" s="138"/>
      <c r="G66" s="138"/>
      <c r="H66" s="138"/>
      <c r="I66" s="138"/>
      <c r="J66" s="138"/>
      <c r="K66" s="138"/>
      <c r="L66" s="109"/>
      <c r="M66" s="107" t="str">
        <f>IF(ISBLANK(Bozza!B66), "", Bozza!B66)</f>
        <v/>
      </c>
      <c r="N66" s="78"/>
    </row>
    <row r="67" spans="1:14" ht="13.5" customHeight="1">
      <c r="A67" s="101" t="s">
        <v>4</v>
      </c>
      <c r="B67" s="106" t="s">
        <v>9</v>
      </c>
      <c r="C67" s="106"/>
      <c r="D67" s="106"/>
      <c r="E67" s="106"/>
      <c r="F67" s="59" t="s">
        <v>10</v>
      </c>
      <c r="G67" s="57"/>
      <c r="H67" s="107">
        <f>Bozza!$B67</f>
        <v>0</v>
      </c>
      <c r="I67" s="57"/>
      <c r="J67" s="57"/>
      <c r="K67" s="59" t="s">
        <v>11</v>
      </c>
      <c r="L67" s="59"/>
      <c r="M67" s="107">
        <f>Bozza!$G67</f>
        <v>0</v>
      </c>
      <c r="N67" s="110"/>
    </row>
    <row r="68" spans="1:14" ht="13.5" customHeight="1">
      <c r="A68" s="105" t="s">
        <v>4</v>
      </c>
      <c r="B68" s="73" t="s">
        <v>12</v>
      </c>
      <c r="C68" s="111">
        <f>Bozza!B68</f>
        <v>0</v>
      </c>
      <c r="J68" s="73"/>
      <c r="K68" s="112" t="s">
        <v>13</v>
      </c>
      <c r="L68" s="74"/>
      <c r="M68" s="107">
        <f>Bozza!$G68</f>
        <v>0</v>
      </c>
      <c r="N68" s="78"/>
    </row>
    <row r="69" spans="1:14" ht="12.75" customHeight="1">
      <c r="A69" s="113"/>
      <c r="B69" s="73"/>
      <c r="C69" s="107"/>
      <c r="D69" s="56"/>
      <c r="E69" s="56"/>
      <c r="I69" s="115"/>
      <c r="J69" s="119"/>
      <c r="K69" s="112"/>
      <c r="L69" s="74"/>
      <c r="M69" s="107"/>
    </row>
    <row r="70" spans="1:14" ht="20.25" customHeight="1">
      <c r="A70" s="143">
        <f>Bozza!A70</f>
        <v>0</v>
      </c>
      <c r="B70" s="143"/>
      <c r="C70" s="143"/>
      <c r="D70" s="143"/>
      <c r="E70" s="143"/>
      <c r="F70" s="143"/>
      <c r="G70" s="135">
        <f>Bozza!I70</f>
        <v>0</v>
      </c>
      <c r="H70" s="135"/>
      <c r="I70" s="135"/>
      <c r="J70" s="135"/>
      <c r="K70" s="135"/>
      <c r="L70" s="135"/>
      <c r="M70" s="135"/>
      <c r="N70" s="136"/>
    </row>
    <row r="71" spans="1:14" s="88" customFormat="1" ht="14.25" customHeight="1">
      <c r="A71" s="57"/>
      <c r="B71" s="57" t="s">
        <v>0</v>
      </c>
      <c r="C71" s="58">
        <f>Bozza!B71</f>
        <v>0</v>
      </c>
      <c r="D71" s="59" t="s">
        <v>1</v>
      </c>
      <c r="E71" s="60"/>
      <c r="F71" s="61">
        <f>Bozza!D71</f>
        <v>0</v>
      </c>
      <c r="G71" s="57"/>
      <c r="H71" s="62"/>
      <c r="I71" s="58"/>
      <c r="J71" s="57"/>
      <c r="K71" s="59" t="s">
        <v>2</v>
      </c>
      <c r="L71" s="57"/>
      <c r="M71" s="61">
        <f>Bozza!$G71</f>
        <v>0</v>
      </c>
      <c r="N71" s="57"/>
    </row>
    <row r="72" spans="1:14" ht="16" customHeight="1">
      <c r="A72" s="139" t="s">
        <v>3</v>
      </c>
      <c r="B72" s="139"/>
      <c r="C72" s="139"/>
      <c r="D72" s="139"/>
      <c r="E72" s="139"/>
      <c r="F72" s="63"/>
      <c r="G72" s="64"/>
      <c r="H72" s="64"/>
      <c r="I72" s="64"/>
      <c r="J72" s="64"/>
      <c r="K72" s="64"/>
      <c r="L72" s="64"/>
      <c r="M72" s="64"/>
      <c r="N72" s="64"/>
    </row>
    <row r="73" spans="1:14" s="88" customFormat="1" ht="14.25" customHeight="1">
      <c r="A73" s="65" t="s">
        <v>4</v>
      </c>
      <c r="B73" s="66">
        <f>Bozza!A73</f>
        <v>0</v>
      </c>
      <c r="C73" s="57"/>
      <c r="D73" s="57"/>
      <c r="E73" s="57"/>
      <c r="F73" s="57"/>
      <c r="G73" s="57"/>
      <c r="H73" s="57"/>
      <c r="I73" s="67"/>
      <c r="J73" s="57"/>
      <c r="K73" s="68"/>
      <c r="L73" s="68"/>
      <c r="M73" s="69">
        <f>Bozza!B73</f>
        <v>0</v>
      </c>
      <c r="N73" s="70"/>
    </row>
    <row r="74" spans="1:14" ht="14" customHeight="1">
      <c r="A74" s="71" t="s">
        <v>4</v>
      </c>
      <c r="B74" s="72">
        <f>Bozza!A74</f>
        <v>0</v>
      </c>
      <c r="C74" s="73"/>
      <c r="D74" s="73"/>
      <c r="E74" s="73"/>
      <c r="F74" s="73"/>
      <c r="I74" s="75"/>
      <c r="K74" s="76"/>
      <c r="L74" s="76"/>
      <c r="M74" s="77">
        <f>Bozza!$B74</f>
        <v>0</v>
      </c>
      <c r="N74" s="78"/>
    </row>
    <row r="75" spans="1:14" ht="17" customHeight="1">
      <c r="A75" s="79"/>
      <c r="B75" s="72"/>
      <c r="C75" s="73"/>
      <c r="D75" s="73"/>
      <c r="E75" s="73"/>
      <c r="F75" s="73"/>
      <c r="G75" s="80"/>
      <c r="H75" s="73"/>
      <c r="I75" s="140" t="s">
        <v>14</v>
      </c>
      <c r="J75" s="140"/>
      <c r="K75" s="81"/>
      <c r="L75" s="82"/>
      <c r="M75" s="140" t="s">
        <v>15</v>
      </c>
      <c r="N75" s="140"/>
    </row>
    <row r="76" spans="1:14">
      <c r="A76" s="71" t="s">
        <v>4</v>
      </c>
      <c r="B76" s="83" t="s">
        <v>5</v>
      </c>
      <c r="C76" s="84"/>
      <c r="D76" s="84"/>
      <c r="E76" s="84"/>
      <c r="F76" s="84"/>
      <c r="I76" s="129" t="str">
        <f>IF(ISBLANK(Bozza!C76), "", Bozza!C76)</f>
        <v/>
      </c>
      <c r="K76" s="76"/>
      <c r="L76" s="76"/>
      <c r="M76" s="85" t="str">
        <f>IF(ISBLANK(Bozza!F76), "", Bozza!F76)</f>
        <v/>
      </c>
      <c r="N76" s="78"/>
    </row>
    <row r="77" spans="1:14" ht="18.75" customHeight="1">
      <c r="A77" s="141" t="s">
        <v>6</v>
      </c>
      <c r="B77" s="141"/>
      <c r="C77" s="141"/>
      <c r="D77" s="141"/>
      <c r="E77" s="63"/>
      <c r="F77" s="64"/>
      <c r="G77" s="64"/>
      <c r="H77" s="64"/>
      <c r="I77" s="64"/>
      <c r="J77" s="64"/>
      <c r="K77" s="64"/>
      <c r="L77" s="64"/>
      <c r="M77" s="64"/>
      <c r="N77" s="64"/>
    </row>
    <row r="78" spans="1:14" s="88" customFormat="1" ht="17" customHeight="1">
      <c r="A78" s="86" t="s">
        <v>4</v>
      </c>
      <c r="B78" s="87">
        <f>Bozza!A78</f>
        <v>0</v>
      </c>
      <c r="C78" s="87"/>
      <c r="D78" s="87"/>
      <c r="E78" s="87"/>
      <c r="F78" s="87"/>
      <c r="I78" s="129" t="str">
        <f>IF(ISBLANK(Bozza!C78), "", Bozza!C78)</f>
        <v/>
      </c>
      <c r="K78" s="89"/>
      <c r="L78" s="89"/>
      <c r="M78" s="85" t="str">
        <f>IF(ISBLANK(Bozza!F78), "", Bozza!F78)</f>
        <v/>
      </c>
      <c r="N78" s="90"/>
    </row>
    <row r="79" spans="1:14" ht="15" customHeight="1">
      <c r="A79" s="91"/>
      <c r="B79" s="87"/>
      <c r="C79" s="87"/>
      <c r="D79" s="87"/>
      <c r="E79" s="87"/>
      <c r="F79" s="87"/>
      <c r="G79" s="56"/>
      <c r="I79" s="85" t="str">
        <f>IF(ISBLANK(Bozza!C79), "", Bozza!C79)</f>
        <v/>
      </c>
      <c r="J79" s="92"/>
      <c r="K79" s="93"/>
      <c r="L79" s="93"/>
      <c r="M79" s="85" t="str">
        <f>IF(ISBLANK(Bozza!F79), "", Bozza!F79)</f>
        <v/>
      </c>
      <c r="N79" s="94"/>
    </row>
    <row r="80" spans="1:14" ht="14.25" customHeight="1">
      <c r="A80" s="91" t="s">
        <v>4</v>
      </c>
      <c r="B80" s="87">
        <f>Bozza!A80</f>
        <v>0</v>
      </c>
      <c r="C80" s="87"/>
      <c r="D80" s="87"/>
      <c r="E80" s="87"/>
      <c r="F80" s="87"/>
      <c r="G80" s="56"/>
      <c r="I80" s="129" t="str">
        <f>IF(ISBLANK(Bozza!C80), "", Bozza!C80)</f>
        <v/>
      </c>
      <c r="J80" s="56"/>
      <c r="K80" s="93"/>
      <c r="L80" s="93"/>
      <c r="M80" s="85" t="str">
        <f>IF(ISBLANK(Bozza!F80), "", Bozza!F80)</f>
        <v/>
      </c>
      <c r="N80" s="94"/>
    </row>
    <row r="81" spans="1:14" ht="16" customHeight="1">
      <c r="A81" s="91"/>
      <c r="B81" s="87"/>
      <c r="C81" s="87"/>
      <c r="D81" s="87"/>
      <c r="E81" s="87"/>
      <c r="F81" s="87"/>
      <c r="G81" s="56"/>
      <c r="I81" s="85" t="str">
        <f>IF(ISBLANK(Bozza!C81), "", Bozza!C81)</f>
        <v/>
      </c>
      <c r="J81" s="92"/>
      <c r="K81" s="93"/>
      <c r="L81" s="93"/>
      <c r="M81" s="85" t="str">
        <f>IF(ISBLANK(Bozza!F81), "", Bozza!F81)</f>
        <v/>
      </c>
      <c r="N81" s="94"/>
    </row>
    <row r="82" spans="1:14" ht="14.25" customHeight="1">
      <c r="A82" s="91" t="str">
        <f>IF(ISBLANK(Bozza!A82), "", "•")</f>
        <v/>
      </c>
      <c r="B82" s="127" t="str">
        <f>IF(ISBLANK(Bozza!A82), "", Bozza!A82)</f>
        <v/>
      </c>
      <c r="C82" s="96"/>
      <c r="D82" s="96"/>
      <c r="E82" s="96"/>
      <c r="F82" s="96"/>
      <c r="G82" s="96"/>
      <c r="H82" s="96"/>
      <c r="I82" s="129" t="str">
        <f>IF(ISBLANK(Bozza!C82), "", Bozza!C82)</f>
        <v/>
      </c>
      <c r="J82" s="96"/>
      <c r="K82" s="96"/>
      <c r="L82" s="93"/>
      <c r="M82" s="85" t="str">
        <f>IF(ISBLANK(Bozza!F82), "", Bozza!F82)</f>
        <v/>
      </c>
      <c r="N82" s="94"/>
    </row>
    <row r="83" spans="1:14" ht="14.25" customHeight="1">
      <c r="A83" s="91"/>
      <c r="B83" s="97"/>
      <c r="C83" s="98"/>
      <c r="D83" s="98"/>
      <c r="E83" s="98"/>
      <c r="F83" s="98"/>
      <c r="G83" s="98"/>
      <c r="H83" s="98"/>
      <c r="I83" s="85" t="str">
        <f>IF(ISBLANK(Bozza!C83), "", Bozza!C83)</f>
        <v/>
      </c>
      <c r="J83" s="98"/>
      <c r="K83" s="98"/>
      <c r="L83" s="93"/>
      <c r="M83" s="85" t="str">
        <f>IF(ISBLANK(Bozza!F83), "", Bozza!F83)</f>
        <v/>
      </c>
      <c r="N83" s="94"/>
    </row>
    <row r="84" spans="1:14" ht="14.25" customHeight="1">
      <c r="A84" s="91" t="str">
        <f>IF(ISBLANK(Bozza!A84), "", "•")</f>
        <v/>
      </c>
      <c r="B84" s="127" t="str">
        <f>IF(ISBLANK(Bozza!A84), "", Bozza!A84)</f>
        <v/>
      </c>
      <c r="C84" s="98"/>
      <c r="D84" s="98"/>
      <c r="E84" s="98"/>
      <c r="F84" s="98"/>
      <c r="G84" s="98"/>
      <c r="H84" s="98"/>
      <c r="I84" s="129" t="str">
        <f>IF(ISBLANK(Bozza!C84), "", Bozza!C84)</f>
        <v/>
      </c>
      <c r="J84" s="98"/>
      <c r="K84" s="98"/>
      <c r="L84" s="93"/>
      <c r="M84" s="85" t="str">
        <f>IF(ISBLANK(Bozza!F84), "", Bozza!F84)</f>
        <v/>
      </c>
      <c r="N84" s="94"/>
    </row>
    <row r="85" spans="1:14" ht="12.75" customHeight="1">
      <c r="A85" s="99"/>
      <c r="B85" s="100"/>
      <c r="C85" s="87"/>
      <c r="D85" s="87"/>
      <c r="E85" s="87"/>
      <c r="F85" s="87"/>
      <c r="G85" s="56"/>
      <c r="I85" s="85" t="str">
        <f>IF(ISBLANK(Bozza!C85), "", Bozza!C85)</f>
        <v/>
      </c>
      <c r="J85" s="92"/>
      <c r="K85" s="93"/>
      <c r="L85" s="93"/>
      <c r="M85" s="85" t="str">
        <f>IF(ISBLANK(Bozza!F85), "", Bozza!F85)</f>
        <v/>
      </c>
      <c r="N85" s="94"/>
    </row>
    <row r="86" spans="1:14" ht="20.25" customHeight="1">
      <c r="A86" s="142" t="s">
        <v>7</v>
      </c>
      <c r="B86" s="142"/>
      <c r="C86" s="142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</row>
    <row r="87" spans="1:14" s="88" customFormat="1" ht="13.5" customHeight="1">
      <c r="A87" s="101" t="s">
        <v>4</v>
      </c>
      <c r="B87" s="60" t="s">
        <v>8</v>
      </c>
      <c r="C87" s="102">
        <f>Bozza!B87</f>
        <v>0</v>
      </c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</row>
    <row r="88" spans="1:14" ht="14.25" customHeight="1">
      <c r="A88" s="105" t="s">
        <v>4</v>
      </c>
      <c r="B88" s="106">
        <f>Bozza!A88</f>
        <v>0</v>
      </c>
      <c r="C88" s="106"/>
      <c r="D88" s="106"/>
      <c r="E88" s="106"/>
      <c r="F88" s="106"/>
      <c r="G88" s="106"/>
      <c r="H88" s="106"/>
      <c r="I88" s="106"/>
      <c r="J88" s="106"/>
      <c r="K88" s="106"/>
      <c r="L88" s="73"/>
      <c r="M88" s="107">
        <f>Bozza!B88</f>
        <v>0</v>
      </c>
      <c r="N88" s="108"/>
    </row>
    <row r="89" spans="1:14" ht="14.25" customHeight="1">
      <c r="A89" s="105" t="str">
        <f>IF(ISBLANK(Bozza!A89), "", "•")</f>
        <v/>
      </c>
      <c r="B89" s="137" t="str">
        <f>IF(ISBLANK(Bozza!A89), "", Bozza!A89)</f>
        <v/>
      </c>
      <c r="C89" s="138"/>
      <c r="D89" s="138"/>
      <c r="E89" s="138"/>
      <c r="F89" s="138"/>
      <c r="G89" s="138"/>
      <c r="H89" s="138"/>
      <c r="I89" s="138"/>
      <c r="J89" s="138"/>
      <c r="K89" s="138"/>
      <c r="L89" s="109"/>
      <c r="M89" s="107" t="str">
        <f>IF(ISBLANK(Bozza!B89), "", Bozza!B89)</f>
        <v/>
      </c>
      <c r="N89" s="78"/>
    </row>
    <row r="90" spans="1:14" ht="14.25" customHeight="1">
      <c r="A90" s="101" t="s">
        <v>4</v>
      </c>
      <c r="B90" s="106" t="s">
        <v>9</v>
      </c>
      <c r="C90" s="106"/>
      <c r="D90" s="106"/>
      <c r="E90" s="106"/>
      <c r="F90" s="59" t="s">
        <v>10</v>
      </c>
      <c r="G90" s="57"/>
      <c r="H90" s="107">
        <f>Bozza!$B90</f>
        <v>0</v>
      </c>
      <c r="I90" s="57"/>
      <c r="J90" s="57"/>
      <c r="K90" s="59" t="s">
        <v>11</v>
      </c>
      <c r="L90" s="59"/>
      <c r="M90" s="107">
        <f>Bozza!$G90</f>
        <v>0</v>
      </c>
      <c r="N90" s="110"/>
    </row>
    <row r="91" spans="1:14" ht="14.25" customHeight="1">
      <c r="A91" s="105" t="s">
        <v>4</v>
      </c>
      <c r="B91" s="73" t="s">
        <v>12</v>
      </c>
      <c r="C91" s="111">
        <f>Bozza!B91</f>
        <v>0</v>
      </c>
      <c r="J91" s="73"/>
      <c r="K91" s="112" t="s">
        <v>13</v>
      </c>
      <c r="L91" s="74"/>
      <c r="M91" s="107">
        <f>Bozza!$G91</f>
        <v>0</v>
      </c>
      <c r="N91" s="78"/>
    </row>
    <row r="92" spans="1:14" ht="14.25" customHeight="1">
      <c r="A92" s="113"/>
      <c r="B92" s="114"/>
      <c r="C92" s="107"/>
      <c r="D92" s="115"/>
      <c r="E92" s="115"/>
      <c r="F92" s="116"/>
      <c r="G92" s="116"/>
      <c r="H92" s="116"/>
      <c r="I92" s="115"/>
      <c r="J92" s="114"/>
      <c r="K92" s="74"/>
      <c r="L92" s="74"/>
      <c r="M92" s="117"/>
    </row>
    <row r="93" spans="1:14" ht="20" customHeight="1">
      <c r="A93" s="143">
        <f>Bozza!A93</f>
        <v>0</v>
      </c>
      <c r="B93" s="143"/>
      <c r="C93" s="143"/>
      <c r="D93" s="143"/>
      <c r="E93" s="143"/>
      <c r="F93" s="143"/>
      <c r="G93" s="135">
        <f>Bozza!I93</f>
        <v>0</v>
      </c>
      <c r="H93" s="135"/>
      <c r="I93" s="135"/>
      <c r="J93" s="135"/>
      <c r="K93" s="135"/>
      <c r="L93" s="135"/>
      <c r="M93" s="135"/>
      <c r="N93" s="136"/>
    </row>
    <row r="94" spans="1:14" ht="15" customHeight="1">
      <c r="A94" s="57"/>
      <c r="B94" s="57" t="s">
        <v>0</v>
      </c>
      <c r="C94" s="58">
        <f>Bozza!B94</f>
        <v>0</v>
      </c>
      <c r="D94" s="59" t="s">
        <v>1</v>
      </c>
      <c r="E94" s="60"/>
      <c r="F94" s="61">
        <f>Bozza!D94</f>
        <v>0</v>
      </c>
      <c r="G94" s="57"/>
      <c r="H94" s="62"/>
      <c r="I94" s="58"/>
      <c r="J94" s="57"/>
      <c r="K94" s="59" t="s">
        <v>2</v>
      </c>
      <c r="L94" s="57"/>
      <c r="M94" s="61">
        <f>Bozza!$G94</f>
        <v>0</v>
      </c>
      <c r="N94" s="57"/>
    </row>
    <row r="95" spans="1:14" ht="20.25" customHeight="1">
      <c r="A95" s="139" t="s">
        <v>3</v>
      </c>
      <c r="B95" s="139"/>
      <c r="C95" s="139"/>
      <c r="D95" s="139"/>
      <c r="E95" s="139"/>
      <c r="F95" s="63"/>
      <c r="G95" s="64"/>
      <c r="H95" s="64"/>
      <c r="I95" s="64"/>
      <c r="J95" s="64"/>
      <c r="K95" s="64"/>
      <c r="L95" s="64"/>
      <c r="M95" s="64"/>
      <c r="N95" s="64"/>
    </row>
    <row r="96" spans="1:14" ht="14.25" customHeight="1">
      <c r="A96" s="65" t="s">
        <v>4</v>
      </c>
      <c r="B96" s="66">
        <f>Bozza!A96</f>
        <v>0</v>
      </c>
      <c r="C96" s="57"/>
      <c r="D96" s="57"/>
      <c r="E96" s="57"/>
      <c r="F96" s="57"/>
      <c r="G96" s="57"/>
      <c r="H96" s="57"/>
      <c r="J96" s="57"/>
      <c r="K96" s="68"/>
      <c r="L96" s="68"/>
      <c r="M96" s="69">
        <f>Bozza!B96</f>
        <v>0</v>
      </c>
      <c r="N96" s="70"/>
    </row>
    <row r="97" spans="1:14" ht="14.25" customHeight="1">
      <c r="A97" s="71" t="s">
        <v>4</v>
      </c>
      <c r="B97" s="72">
        <f>Bozza!A97</f>
        <v>0</v>
      </c>
      <c r="C97" s="73"/>
      <c r="D97" s="73"/>
      <c r="E97" s="73"/>
      <c r="F97" s="73"/>
      <c r="I97" s="75"/>
      <c r="K97" s="76"/>
      <c r="L97" s="76"/>
      <c r="M97" s="77">
        <f>Bozza!$B97</f>
        <v>0</v>
      </c>
      <c r="N97" s="78"/>
    </row>
    <row r="98" spans="1:14" ht="19" customHeight="1">
      <c r="A98" s="79"/>
      <c r="B98" s="72"/>
      <c r="C98" s="73"/>
      <c r="D98" s="73"/>
      <c r="E98" s="73"/>
      <c r="F98" s="73"/>
      <c r="G98" s="80"/>
      <c r="H98" s="73"/>
      <c r="I98" s="140" t="s">
        <v>14</v>
      </c>
      <c r="J98" s="140"/>
      <c r="K98" s="81"/>
      <c r="L98" s="82"/>
      <c r="M98" s="140" t="s">
        <v>15</v>
      </c>
      <c r="N98" s="140"/>
    </row>
    <row r="99" spans="1:14" ht="14.25" customHeight="1">
      <c r="A99" s="71" t="s">
        <v>4</v>
      </c>
      <c r="B99" s="83" t="s">
        <v>5</v>
      </c>
      <c r="C99" s="84"/>
      <c r="D99" s="84"/>
      <c r="E99" s="84"/>
      <c r="F99" s="84"/>
      <c r="I99" s="129" t="str">
        <f>IF(ISBLANK(Bozza!C99), "", Bozza!C99)</f>
        <v/>
      </c>
      <c r="K99" s="76"/>
      <c r="L99" s="76"/>
      <c r="M99" s="85" t="str">
        <f>IF(ISBLANK(Bozza!F99), "", Bozza!F99)</f>
        <v/>
      </c>
      <c r="N99" s="78"/>
    </row>
    <row r="100" spans="1:14" ht="14" customHeight="1">
      <c r="A100" s="141" t="s">
        <v>6</v>
      </c>
      <c r="B100" s="141"/>
      <c r="C100" s="141"/>
      <c r="D100" s="141"/>
      <c r="E100" s="63"/>
      <c r="F100" s="64"/>
      <c r="G100" s="64"/>
      <c r="H100" s="64"/>
      <c r="I100" s="64"/>
      <c r="J100" s="64"/>
      <c r="K100" s="64"/>
      <c r="L100" s="64"/>
      <c r="M100" s="64"/>
      <c r="N100" s="64"/>
    </row>
    <row r="101" spans="1:14">
      <c r="A101" s="86" t="s">
        <v>4</v>
      </c>
      <c r="B101" s="87">
        <f>Bozza!A101</f>
        <v>0</v>
      </c>
      <c r="C101" s="87"/>
      <c r="D101" s="87"/>
      <c r="E101" s="87"/>
      <c r="F101" s="87"/>
      <c r="G101" s="88"/>
      <c r="H101" s="88"/>
      <c r="I101" s="129" t="str">
        <f>IF(ISBLANK(Bozza!C101), "", Bozza!C101)</f>
        <v/>
      </c>
      <c r="J101" s="88"/>
      <c r="K101" s="89"/>
      <c r="L101" s="89"/>
      <c r="M101" s="85" t="str">
        <f>IF(ISBLANK(Bozza!F101), "", Bozza!F101)</f>
        <v/>
      </c>
      <c r="N101" s="90"/>
    </row>
    <row r="102" spans="1:14">
      <c r="A102" s="91"/>
      <c r="B102" s="87"/>
      <c r="C102" s="87"/>
      <c r="D102" s="87"/>
      <c r="E102" s="87"/>
      <c r="F102" s="87"/>
      <c r="G102" s="56"/>
      <c r="I102" s="85" t="str">
        <f>IF(ISBLANK(Bozza!C102), "", Bozza!C102)</f>
        <v/>
      </c>
      <c r="J102" s="92"/>
      <c r="K102" s="93"/>
      <c r="L102" s="93"/>
      <c r="M102" s="85" t="str">
        <f>IF(ISBLANK(Bozza!F102), "", Bozza!F102)</f>
        <v/>
      </c>
      <c r="N102" s="94"/>
    </row>
    <row r="103" spans="1:14">
      <c r="A103" s="91" t="s">
        <v>4</v>
      </c>
      <c r="B103" s="87">
        <f>Bozza!A103</f>
        <v>0</v>
      </c>
      <c r="C103" s="87"/>
      <c r="D103" s="87"/>
      <c r="E103" s="87"/>
      <c r="F103" s="87"/>
      <c r="G103" s="56"/>
      <c r="I103" s="129" t="str">
        <f>IF(ISBLANK(Bozza!C103), "", Bozza!C103)</f>
        <v/>
      </c>
      <c r="J103" s="56"/>
      <c r="K103" s="93"/>
      <c r="L103" s="93"/>
      <c r="M103" s="85" t="str">
        <f>IF(ISBLANK(Bozza!F103), "", Bozza!F103)</f>
        <v/>
      </c>
      <c r="N103" s="94"/>
    </row>
    <row r="104" spans="1:14">
      <c r="A104" s="91"/>
      <c r="B104" s="87"/>
      <c r="C104" s="87"/>
      <c r="D104" s="87"/>
      <c r="E104" s="87"/>
      <c r="F104" s="87"/>
      <c r="G104" s="56"/>
      <c r="I104" s="85" t="str">
        <f>IF(ISBLANK(Bozza!C104), "", Bozza!C104)</f>
        <v/>
      </c>
      <c r="J104" s="92"/>
      <c r="K104" s="93"/>
      <c r="L104" s="93"/>
      <c r="M104" s="85" t="str">
        <f>IF(ISBLANK(Bozza!F104), "", Bozza!F104)</f>
        <v/>
      </c>
      <c r="N104" s="94"/>
    </row>
    <row r="105" spans="1:14">
      <c r="A105" s="91" t="str">
        <f>IF(ISBLANK(Bozza!A105), "", "•")</f>
        <v/>
      </c>
      <c r="B105" s="127" t="str">
        <f>IF(ISBLANK(Bozza!A105), "", Bozza!A105)</f>
        <v/>
      </c>
      <c r="C105" s="96"/>
      <c r="D105" s="96"/>
      <c r="E105" s="96"/>
      <c r="F105" s="96"/>
      <c r="G105" s="96"/>
      <c r="H105" s="96"/>
      <c r="I105" s="129" t="str">
        <f>IF(ISBLANK(Bozza!C105), "", Bozza!C105)</f>
        <v/>
      </c>
      <c r="J105" s="96"/>
      <c r="K105" s="96"/>
      <c r="L105" s="93"/>
      <c r="M105" s="85" t="str">
        <f>IF(ISBLANK(Bozza!F105), "", Bozza!F105)</f>
        <v/>
      </c>
      <c r="N105" s="94"/>
    </row>
    <row r="106" spans="1:14">
      <c r="A106" s="91"/>
      <c r="B106" s="128"/>
      <c r="C106" s="98"/>
      <c r="D106" s="98"/>
      <c r="E106" s="98"/>
      <c r="F106" s="98"/>
      <c r="G106" s="98"/>
      <c r="H106" s="98"/>
      <c r="I106" s="85" t="str">
        <f>IF(ISBLANK(Bozza!C106), "", Bozza!C106)</f>
        <v/>
      </c>
      <c r="J106" s="98"/>
      <c r="K106" s="98"/>
      <c r="L106" s="93"/>
      <c r="M106" s="85" t="str">
        <f>IF(ISBLANK(Bozza!F106), "", Bozza!F106)</f>
        <v/>
      </c>
      <c r="N106" s="94"/>
    </row>
    <row r="107" spans="1:14">
      <c r="A107" s="91" t="str">
        <f>IF(ISBLANK(Bozza!A107), "", "•")</f>
        <v/>
      </c>
      <c r="B107" s="127" t="str">
        <f>IF(ISBLANK(Bozza!A107), "", Bozza!A107)</f>
        <v/>
      </c>
      <c r="C107" s="98"/>
      <c r="D107" s="98"/>
      <c r="E107" s="98"/>
      <c r="F107" s="98"/>
      <c r="G107" s="98"/>
      <c r="H107" s="98"/>
      <c r="I107" s="129" t="str">
        <f>IF(ISBLANK(Bozza!C107), "", Bozza!C107)</f>
        <v/>
      </c>
      <c r="J107" s="98"/>
      <c r="K107" s="98"/>
      <c r="L107" s="93"/>
      <c r="M107" s="85" t="str">
        <f>IF(ISBLANK(Bozza!F107), "", Bozza!F107)</f>
        <v/>
      </c>
      <c r="N107" s="94"/>
    </row>
    <row r="108" spans="1:14">
      <c r="A108" s="99"/>
      <c r="B108" s="100"/>
      <c r="C108" s="87"/>
      <c r="D108" s="87"/>
      <c r="E108" s="87"/>
      <c r="F108" s="87"/>
      <c r="G108" s="56"/>
      <c r="I108" s="85" t="str">
        <f>IF(ISBLANK(Bozza!C108), "", Bozza!C108)</f>
        <v/>
      </c>
      <c r="J108" s="92"/>
      <c r="K108" s="93"/>
      <c r="L108" s="93"/>
      <c r="M108" s="85" t="str">
        <f>IF(ISBLANK(Bozza!F108), "", Bozza!F108)</f>
        <v/>
      </c>
      <c r="N108" s="94"/>
    </row>
    <row r="109" spans="1:14" ht="19">
      <c r="A109" s="142" t="s">
        <v>7</v>
      </c>
      <c r="B109" s="142"/>
      <c r="C109" s="142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</row>
    <row r="110" spans="1:14">
      <c r="A110" s="101" t="s">
        <v>4</v>
      </c>
      <c r="B110" s="60" t="s">
        <v>8</v>
      </c>
      <c r="C110" s="102">
        <f>Bozza!B110</f>
        <v>0</v>
      </c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</row>
    <row r="111" spans="1:14">
      <c r="A111" s="105" t="s">
        <v>4</v>
      </c>
      <c r="B111" s="106">
        <f>Bozza!A111</f>
        <v>0</v>
      </c>
      <c r="C111" s="106"/>
      <c r="D111" s="106"/>
      <c r="E111" s="106"/>
      <c r="F111" s="106"/>
      <c r="G111" s="106"/>
      <c r="H111" s="106"/>
      <c r="I111" s="106"/>
      <c r="J111" s="106"/>
      <c r="K111" s="106"/>
      <c r="L111" s="73"/>
      <c r="M111" s="107">
        <f>Bozza!B111</f>
        <v>0</v>
      </c>
      <c r="N111" s="108"/>
    </row>
    <row r="112" spans="1:14">
      <c r="A112" s="105" t="str">
        <f>IF(ISBLANK(Bozza!A112), "", "•")</f>
        <v/>
      </c>
      <c r="B112" s="137" t="str">
        <f>IF(ISBLANK(Bozza!A112), "", Bozza!A112)</f>
        <v/>
      </c>
      <c r="C112" s="138"/>
      <c r="D112" s="138"/>
      <c r="E112" s="138"/>
      <c r="F112" s="138"/>
      <c r="G112" s="138"/>
      <c r="H112" s="138"/>
      <c r="I112" s="138"/>
      <c r="J112" s="138"/>
      <c r="K112" s="138"/>
      <c r="L112" s="109"/>
      <c r="M112" s="107" t="str">
        <f>IF(ISBLANK(Bozza!B112), "", Bozza!B112)</f>
        <v/>
      </c>
      <c r="N112" s="78"/>
    </row>
    <row r="113" spans="1:14">
      <c r="A113" s="101" t="s">
        <v>4</v>
      </c>
      <c r="B113" s="106" t="s">
        <v>9</v>
      </c>
      <c r="C113" s="106"/>
      <c r="D113" s="106"/>
      <c r="E113" s="106"/>
      <c r="F113" s="59" t="s">
        <v>10</v>
      </c>
      <c r="G113" s="57"/>
      <c r="H113" s="107">
        <f>Bozza!$B113</f>
        <v>0</v>
      </c>
      <c r="I113" s="57"/>
      <c r="J113" s="57"/>
      <c r="K113" s="59" t="s">
        <v>11</v>
      </c>
      <c r="L113" s="59"/>
      <c r="M113" s="107">
        <f>Bozza!$G113</f>
        <v>0</v>
      </c>
      <c r="N113" s="110"/>
    </row>
    <row r="114" spans="1:14">
      <c r="A114" s="105" t="s">
        <v>4</v>
      </c>
      <c r="B114" s="73" t="s">
        <v>12</v>
      </c>
      <c r="C114" s="111">
        <f>Bozza!B114</f>
        <v>0</v>
      </c>
      <c r="J114" s="73"/>
      <c r="K114" s="112" t="s">
        <v>13</v>
      </c>
      <c r="L114" s="74"/>
      <c r="M114" s="107">
        <f>Bozza!$G114</f>
        <v>0</v>
      </c>
      <c r="N114" s="78"/>
    </row>
  </sheetData>
  <mergeCells count="40">
    <mergeCell ref="M6:N6"/>
    <mergeCell ref="B112:K112"/>
    <mergeCell ref="A1:F1"/>
    <mergeCell ref="A47:F47"/>
    <mergeCell ref="A70:F70"/>
    <mergeCell ref="A93:F93"/>
    <mergeCell ref="A24:F24"/>
    <mergeCell ref="A109:C109"/>
    <mergeCell ref="A3:E3"/>
    <mergeCell ref="A63:C63"/>
    <mergeCell ref="A8:D8"/>
    <mergeCell ref="A17:C17"/>
    <mergeCell ref="B20:K20"/>
    <mergeCell ref="A26:E26"/>
    <mergeCell ref="I6:J6"/>
    <mergeCell ref="M98:N98"/>
    <mergeCell ref="A49:E49"/>
    <mergeCell ref="A54:D54"/>
    <mergeCell ref="A100:D100"/>
    <mergeCell ref="A95:E95"/>
    <mergeCell ref="I98:J98"/>
    <mergeCell ref="A77:D77"/>
    <mergeCell ref="A86:C86"/>
    <mergeCell ref="B89:K89"/>
    <mergeCell ref="G1:N1"/>
    <mergeCell ref="G93:N93"/>
    <mergeCell ref="G70:N70"/>
    <mergeCell ref="G47:N47"/>
    <mergeCell ref="G24:N24"/>
    <mergeCell ref="B66:K66"/>
    <mergeCell ref="A72:E72"/>
    <mergeCell ref="I75:J75"/>
    <mergeCell ref="M75:N75"/>
    <mergeCell ref="M29:N29"/>
    <mergeCell ref="I29:J29"/>
    <mergeCell ref="I52:J52"/>
    <mergeCell ref="M52:N52"/>
    <mergeCell ref="B43:K43"/>
    <mergeCell ref="A31:D31"/>
    <mergeCell ref="A40:C40"/>
  </mergeCells>
  <phoneticPr fontId="9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UI,Regular"&amp;16&amp;K04-040CONGREGAZIONE DI SCORZE'	   &amp;"Microsoft JhengHei UI,Bold"Programma dell’adunanza infrasettimanale</oddHeader>
  </headerFooter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31CF-0438-4D42-81E5-A38BC8EBC226}">
  <sheetPr codeName="Sheet2"/>
  <dimension ref="A1:T276"/>
  <sheetViews>
    <sheetView view="pageBreakPreview" zoomScale="60" zoomScaleNormal="100" workbookViewId="0">
      <selection activeCell="A231" sqref="A231:XFD231"/>
    </sheetView>
  </sheetViews>
  <sheetFormatPr baseColWidth="10" defaultRowHeight="15"/>
  <cols>
    <col min="1" max="1" width="5.33203125" style="8" customWidth="1"/>
    <col min="2" max="2" width="1.5" style="8" customWidth="1"/>
    <col min="3" max="3" width="2.5" style="8" customWidth="1"/>
    <col min="4" max="4" width="6.33203125" style="8" customWidth="1"/>
    <col min="5" max="5" width="6.83203125" style="8" customWidth="1"/>
    <col min="6" max="6" width="1.1640625" style="8" customWidth="1"/>
    <col min="7" max="7" width="4.33203125" style="8" customWidth="1"/>
    <col min="8" max="8" width="1.33203125" style="8" customWidth="1"/>
    <col min="9" max="9" width="15.83203125" style="8" customWidth="1"/>
    <col min="10" max="10" width="2.83203125" style="8" customWidth="1"/>
    <col min="11" max="11" width="5.1640625" style="121" customWidth="1"/>
    <col min="12" max="12" width="1.33203125" style="122" customWidth="1"/>
    <col min="13" max="13" width="2.5" style="122" customWidth="1"/>
    <col min="14" max="14" width="6.6640625" style="122" customWidth="1"/>
    <col min="15" max="15" width="6.33203125" style="122" customWidth="1"/>
    <col min="16" max="16" width="1.1640625" style="122" customWidth="1"/>
    <col min="17" max="17" width="4.5" style="122" customWidth="1"/>
    <col min="18" max="18" width="1.33203125" style="122" customWidth="1"/>
    <col min="19" max="19" width="16" style="122" customWidth="1"/>
    <col min="20" max="20" width="2.83203125" style="122" customWidth="1"/>
    <col min="21" max="16384" width="10.83203125" style="8"/>
  </cols>
  <sheetData>
    <row r="1" spans="1:20" ht="48" customHeight="1">
      <c r="A1" s="153"/>
      <c r="B1" s="154"/>
      <c r="C1" s="154"/>
      <c r="D1" s="154"/>
      <c r="E1" s="154"/>
      <c r="F1" s="154"/>
      <c r="G1" s="154"/>
      <c r="H1" s="154"/>
      <c r="I1" s="154"/>
      <c r="J1" s="154"/>
      <c r="K1" s="153"/>
      <c r="L1" s="154"/>
      <c r="M1" s="154"/>
      <c r="N1" s="154"/>
      <c r="O1" s="154"/>
      <c r="P1" s="154"/>
      <c r="Q1" s="154"/>
      <c r="R1" s="154"/>
      <c r="S1" s="154"/>
      <c r="T1" s="125"/>
    </row>
    <row r="2" spans="1:20" ht="19" customHeight="1">
      <c r="A2" s="145"/>
      <c r="B2" s="146"/>
      <c r="C2" s="146"/>
      <c r="D2" s="146"/>
      <c r="E2" s="146"/>
      <c r="F2" s="146"/>
      <c r="G2" s="152">
        <f>'Bozza Assegnazioni'!$B$1</f>
        <v>0</v>
      </c>
      <c r="H2" s="152"/>
      <c r="I2" s="152"/>
      <c r="J2" s="122"/>
      <c r="K2" s="145"/>
      <c r="L2" s="146"/>
      <c r="M2" s="146"/>
      <c r="N2" s="146"/>
      <c r="O2" s="146"/>
      <c r="P2" s="146"/>
      <c r="Q2" s="152">
        <f>'Bozza Assegnazioni'!$B$2</f>
        <v>0</v>
      </c>
      <c r="R2" s="152"/>
      <c r="S2" s="152"/>
      <c r="T2" s="126"/>
    </row>
    <row r="3" spans="1:20" ht="7" customHeight="1">
      <c r="A3" s="145"/>
      <c r="B3" s="146"/>
      <c r="C3" s="146"/>
      <c r="D3" s="146"/>
      <c r="E3" s="146"/>
      <c r="F3" s="146"/>
      <c r="G3" s="146"/>
      <c r="H3" s="146"/>
      <c r="I3" s="146"/>
      <c r="J3" s="146"/>
      <c r="K3" s="145"/>
      <c r="L3" s="146"/>
      <c r="M3" s="146"/>
      <c r="N3" s="146"/>
      <c r="O3" s="146"/>
      <c r="P3" s="146"/>
      <c r="Q3" s="146"/>
      <c r="R3" s="146"/>
      <c r="S3" s="146"/>
      <c r="T3" s="147"/>
    </row>
    <row r="4" spans="1:20" ht="21" customHeight="1">
      <c r="A4" s="145"/>
      <c r="B4" s="146"/>
      <c r="C4" s="146"/>
      <c r="D4" s="146"/>
      <c r="E4" s="152" t="str">
        <f>IF(ISBLANK('Bozza Assegnazioni'!$C$1), "", 'Bozza Assegnazioni'!$C$1)</f>
        <v/>
      </c>
      <c r="F4" s="152"/>
      <c r="G4" s="152"/>
      <c r="H4" s="152"/>
      <c r="I4" s="152"/>
      <c r="J4" s="122"/>
      <c r="K4" s="145"/>
      <c r="L4" s="146"/>
      <c r="M4" s="146"/>
      <c r="N4" s="146"/>
      <c r="O4" s="152" t="str">
        <f>IF(ISBLANK('Bozza Assegnazioni'!$C$2), "", 'Bozza Assegnazioni'!$C$2)</f>
        <v/>
      </c>
      <c r="P4" s="152"/>
      <c r="Q4" s="152"/>
      <c r="R4" s="152"/>
      <c r="S4" s="152"/>
      <c r="T4" s="126"/>
    </row>
    <row r="5" spans="1:20" ht="6" customHeight="1">
      <c r="A5" s="145"/>
      <c r="B5" s="146"/>
      <c r="C5" s="146"/>
      <c r="D5" s="146"/>
      <c r="E5" s="146"/>
      <c r="F5" s="146"/>
      <c r="G5" s="146"/>
      <c r="H5" s="146"/>
      <c r="I5" s="146"/>
      <c r="J5" s="146"/>
      <c r="K5" s="145"/>
      <c r="L5" s="146"/>
      <c r="M5" s="146"/>
      <c r="N5" s="146"/>
      <c r="O5" s="146"/>
      <c r="P5" s="146"/>
      <c r="Q5" s="146"/>
      <c r="R5" s="146"/>
      <c r="S5" s="146"/>
      <c r="T5" s="147"/>
    </row>
    <row r="6" spans="1:20" ht="21" customHeight="1">
      <c r="A6" s="145"/>
      <c r="B6" s="146"/>
      <c r="C6" s="146"/>
      <c r="D6" s="151">
        <f>'Bozza Assegnazioni'!$A$1</f>
        <v>0</v>
      </c>
      <c r="E6" s="152"/>
      <c r="F6" s="152"/>
      <c r="G6" s="152"/>
      <c r="H6" s="152"/>
      <c r="I6" s="152"/>
      <c r="J6" s="122"/>
      <c r="K6" s="145"/>
      <c r="L6" s="146"/>
      <c r="M6" s="146"/>
      <c r="N6" s="151">
        <f>'Bozza Assegnazioni'!$A$2</f>
        <v>0</v>
      </c>
      <c r="O6" s="152"/>
      <c r="P6" s="152"/>
      <c r="Q6" s="152"/>
      <c r="R6" s="152"/>
      <c r="S6" s="152"/>
      <c r="T6" s="126"/>
    </row>
    <row r="7" spans="1:20" ht="9" customHeight="1">
      <c r="A7" s="145"/>
      <c r="B7" s="146"/>
      <c r="C7" s="146"/>
      <c r="D7" s="146"/>
      <c r="E7" s="146"/>
      <c r="F7" s="146"/>
      <c r="G7" s="146"/>
      <c r="H7" s="146"/>
      <c r="I7" s="146"/>
      <c r="J7" s="146"/>
      <c r="K7" s="145"/>
      <c r="L7" s="146"/>
      <c r="M7" s="146"/>
      <c r="N7" s="146"/>
      <c r="O7" s="146"/>
      <c r="P7" s="146"/>
      <c r="Q7" s="146"/>
      <c r="R7" s="146"/>
      <c r="S7" s="146"/>
      <c r="T7" s="147"/>
    </row>
    <row r="8" spans="1:20" ht="18" customHeight="1">
      <c r="A8" s="145"/>
      <c r="B8" s="146"/>
      <c r="C8" s="146"/>
      <c r="D8" s="146"/>
      <c r="E8" s="146"/>
      <c r="F8" s="152">
        <f>'Bozza Assegnazioni'!$D$1</f>
        <v>0</v>
      </c>
      <c r="G8" s="152"/>
      <c r="H8" s="152"/>
      <c r="I8" s="152"/>
      <c r="J8" s="122"/>
      <c r="K8" s="145"/>
      <c r="L8" s="146"/>
      <c r="M8" s="146"/>
      <c r="N8" s="146"/>
      <c r="O8" s="146"/>
      <c r="P8" s="152">
        <f>'Bozza Assegnazioni'!$D$2</f>
        <v>0</v>
      </c>
      <c r="Q8" s="152"/>
      <c r="R8" s="152"/>
      <c r="S8" s="152"/>
      <c r="T8" s="126"/>
    </row>
    <row r="9" spans="1:20" ht="33" customHeight="1">
      <c r="A9" s="145"/>
      <c r="B9" s="146"/>
      <c r="C9" s="146"/>
      <c r="D9" s="146"/>
      <c r="E9" s="146"/>
      <c r="F9" s="146"/>
      <c r="G9" s="146"/>
      <c r="H9" s="146"/>
      <c r="I9" s="146"/>
      <c r="J9" s="146"/>
      <c r="K9" s="145"/>
      <c r="L9" s="146"/>
      <c r="M9" s="146"/>
      <c r="N9" s="146"/>
      <c r="O9" s="146"/>
      <c r="P9" s="146"/>
      <c r="Q9" s="146"/>
      <c r="R9" s="146"/>
      <c r="S9" s="146"/>
      <c r="T9" s="147"/>
    </row>
    <row r="10" spans="1:20" ht="9" customHeight="1">
      <c r="A10" s="145"/>
      <c r="B10" s="123" t="str">
        <f>IF('Bozza Assegnazioni'!$E$1="Lettura biblica","X","")</f>
        <v/>
      </c>
      <c r="C10" s="146"/>
      <c r="D10" s="146"/>
      <c r="E10" s="146"/>
      <c r="F10" s="146"/>
      <c r="G10" s="146"/>
      <c r="H10" s="123" t="str">
        <f>IF('Bozza Assegnazioni'!$E$1="Terza visita ulteriore","X","")</f>
        <v/>
      </c>
      <c r="I10" s="146"/>
      <c r="J10" s="146"/>
      <c r="K10" s="145"/>
      <c r="L10" s="123" t="str">
        <f>IF('Bozza Assegnazioni'!$E$2="Lettura biblica","X","")</f>
        <v/>
      </c>
      <c r="M10" s="146"/>
      <c r="N10" s="146"/>
      <c r="O10" s="146"/>
      <c r="P10" s="146"/>
      <c r="Q10" s="146"/>
      <c r="R10" s="123" t="str">
        <f>IF('Bozza Assegnazioni'!$E$2="Terza visita ulteriore","X","")</f>
        <v/>
      </c>
      <c r="S10" s="146"/>
      <c r="T10" s="147"/>
    </row>
    <row r="11" spans="1:20" ht="4" customHeight="1">
      <c r="A11" s="145"/>
      <c r="B11" s="123"/>
      <c r="C11" s="146"/>
      <c r="D11" s="146"/>
      <c r="E11" s="146"/>
      <c r="F11" s="146"/>
      <c r="G11" s="146"/>
      <c r="H11" s="123"/>
      <c r="I11" s="146"/>
      <c r="J11" s="146"/>
      <c r="K11" s="145"/>
      <c r="L11" s="123"/>
      <c r="M11" s="146"/>
      <c r="N11" s="146"/>
      <c r="O11" s="146"/>
      <c r="P11" s="146"/>
      <c r="Q11" s="146"/>
      <c r="R11" s="123"/>
      <c r="S11" s="146"/>
      <c r="T11" s="147"/>
    </row>
    <row r="12" spans="1:20" ht="8" customHeight="1">
      <c r="A12" s="145"/>
      <c r="B12" s="123" t="str">
        <f>IF('Bozza Assegnazioni'!$E$1="Primo contatto","X","")</f>
        <v/>
      </c>
      <c r="C12" s="146"/>
      <c r="D12" s="146"/>
      <c r="E12" s="146"/>
      <c r="F12" s="146"/>
      <c r="G12" s="146"/>
      <c r="H12" s="123" t="str">
        <f>IF('Bozza Assegnazioni'!$E$1="Studio biblico","X","")</f>
        <v/>
      </c>
      <c r="I12" s="146"/>
      <c r="J12" s="146"/>
      <c r="K12" s="145"/>
      <c r="L12" s="124" t="str">
        <f>IF('Bozza Assegnazioni'!$E$2="Primo contatto","X","")</f>
        <v/>
      </c>
      <c r="M12" s="146"/>
      <c r="N12" s="146"/>
      <c r="O12" s="146"/>
      <c r="P12" s="146"/>
      <c r="Q12" s="146"/>
      <c r="R12" s="123" t="str">
        <f>IF('Bozza Assegnazioni'!$E$2="Studio biblico","X","")</f>
        <v/>
      </c>
      <c r="S12" s="146"/>
      <c r="T12" s="147"/>
    </row>
    <row r="13" spans="1:20" ht="5" customHeight="1">
      <c r="A13" s="145"/>
      <c r="B13" s="123"/>
      <c r="C13" s="146"/>
      <c r="D13" s="146"/>
      <c r="E13" s="146"/>
      <c r="F13" s="146"/>
      <c r="G13" s="146"/>
      <c r="H13" s="123"/>
      <c r="I13" s="146"/>
      <c r="J13" s="146"/>
      <c r="K13" s="145"/>
      <c r="L13" s="123"/>
      <c r="M13" s="146"/>
      <c r="N13" s="146"/>
      <c r="O13" s="146"/>
      <c r="P13" s="146"/>
      <c r="Q13" s="146"/>
      <c r="R13" s="123"/>
      <c r="S13" s="146"/>
      <c r="T13" s="147"/>
    </row>
    <row r="14" spans="1:20" ht="9" customHeight="1">
      <c r="A14" s="145"/>
      <c r="B14" s="123" t="str">
        <f>IF('Bozza Assegnazioni'!$E$1="Prima visita ulteriore","X","")</f>
        <v/>
      </c>
      <c r="C14" s="146"/>
      <c r="D14" s="146"/>
      <c r="E14" s="146"/>
      <c r="F14" s="146"/>
      <c r="G14" s="146"/>
      <c r="H14" s="123" t="str">
        <f>IF('Bozza Assegnazioni'!$E$1="Discorso","X","")</f>
        <v/>
      </c>
      <c r="I14" s="146"/>
      <c r="J14" s="146"/>
      <c r="K14" s="145"/>
      <c r="L14" s="123" t="str">
        <f>IF('Bozza Assegnazioni'!$E$2="Prima visita ulteriore","X","")</f>
        <v/>
      </c>
      <c r="M14" s="146"/>
      <c r="N14" s="146"/>
      <c r="O14" s="146"/>
      <c r="P14" s="146"/>
      <c r="Q14" s="146"/>
      <c r="R14" s="123" t="str">
        <f>IF('Bozza Assegnazioni'!$E$2="Discorso","X","")</f>
        <v/>
      </c>
      <c r="S14" s="146"/>
      <c r="T14" s="147"/>
    </row>
    <row r="15" spans="1:20" ht="5" customHeight="1">
      <c r="A15" s="145"/>
      <c r="B15" s="123"/>
      <c r="C15" s="146"/>
      <c r="D15" s="146"/>
      <c r="E15" s="146"/>
      <c r="F15" s="146"/>
      <c r="G15" s="146"/>
      <c r="H15" s="123"/>
      <c r="I15" s="146"/>
      <c r="J15" s="146"/>
      <c r="K15" s="145"/>
      <c r="L15" s="123"/>
      <c r="M15" s="146"/>
      <c r="N15" s="146"/>
      <c r="O15" s="146"/>
      <c r="P15" s="146"/>
      <c r="Q15" s="146"/>
      <c r="R15" s="123"/>
      <c r="S15" s="146"/>
      <c r="T15" s="147"/>
    </row>
    <row r="16" spans="1:20" ht="9" customHeight="1">
      <c r="A16" s="145"/>
      <c r="B16" s="123" t="str">
        <f>IF('Bozza Assegnazioni'!$E$1="Seconda visita ulteriore","X","")</f>
        <v/>
      </c>
      <c r="C16" s="146"/>
      <c r="D16" s="146"/>
      <c r="E16" s="146"/>
      <c r="F16" s="146"/>
      <c r="G16" s="146"/>
      <c r="H16" s="123"/>
      <c r="I16" s="146"/>
      <c r="J16" s="146"/>
      <c r="K16" s="145"/>
      <c r="L16" s="123" t="str">
        <f>IF('Bozza Assegnazioni'!$E$2="Seconda visita ulteriore","X","")</f>
        <v/>
      </c>
      <c r="M16" s="146"/>
      <c r="N16" s="146"/>
      <c r="O16" s="146"/>
      <c r="P16" s="146"/>
      <c r="Q16" s="146"/>
      <c r="R16" s="123"/>
      <c r="S16" s="146"/>
      <c r="T16" s="147"/>
    </row>
    <row r="17" spans="1:20" ht="22" customHeight="1">
      <c r="A17" s="145"/>
      <c r="B17" s="146"/>
      <c r="C17" s="146"/>
      <c r="D17" s="146"/>
      <c r="E17" s="146"/>
      <c r="F17" s="146"/>
      <c r="G17" s="146"/>
      <c r="H17" s="146"/>
      <c r="I17" s="146"/>
      <c r="J17" s="146"/>
      <c r="K17" s="145"/>
      <c r="L17" s="146"/>
      <c r="M17" s="146"/>
      <c r="N17" s="146"/>
      <c r="O17" s="146"/>
      <c r="P17" s="146"/>
      <c r="Q17" s="146"/>
      <c r="R17" s="146"/>
      <c r="S17" s="146"/>
      <c r="T17" s="147"/>
    </row>
    <row r="18" spans="1:20" ht="8" customHeight="1">
      <c r="A18" s="145"/>
      <c r="B18" s="123" t="str">
        <f>IF('Bozza Assegnazioni'!$F$1=1,"X","")</f>
        <v/>
      </c>
      <c r="C18" s="146"/>
      <c r="D18" s="146"/>
      <c r="E18" s="146"/>
      <c r="F18" s="146"/>
      <c r="G18" s="146"/>
      <c r="H18" s="146"/>
      <c r="I18" s="146"/>
      <c r="J18" s="146"/>
      <c r="K18" s="145"/>
      <c r="L18" s="123" t="str">
        <f>IF('Bozza Assegnazioni'!$F$2=1,"X","")</f>
        <v/>
      </c>
      <c r="M18" s="146"/>
      <c r="N18" s="146"/>
      <c r="O18" s="146"/>
      <c r="P18" s="146"/>
      <c r="Q18" s="146"/>
      <c r="R18" s="146"/>
      <c r="S18" s="146"/>
      <c r="T18" s="147"/>
    </row>
    <row r="19" spans="1:20" ht="6" customHeight="1">
      <c r="A19" s="145"/>
      <c r="B19" s="123"/>
      <c r="C19" s="146"/>
      <c r="D19" s="146"/>
      <c r="E19" s="146"/>
      <c r="F19" s="146"/>
      <c r="G19" s="146"/>
      <c r="H19" s="146"/>
      <c r="I19" s="146"/>
      <c r="J19" s="146"/>
      <c r="K19" s="145"/>
      <c r="L19" s="123"/>
      <c r="M19" s="146"/>
      <c r="N19" s="146"/>
      <c r="O19" s="146"/>
      <c r="P19" s="146"/>
      <c r="Q19" s="146"/>
      <c r="R19" s="146"/>
      <c r="S19" s="146"/>
      <c r="T19" s="147"/>
    </row>
    <row r="20" spans="1:20" ht="8" customHeight="1">
      <c r="A20" s="145"/>
      <c r="B20" s="123" t="str">
        <f>IF('Bozza Assegnazioni'!$F$1=2,"X","")</f>
        <v/>
      </c>
      <c r="C20" s="146"/>
      <c r="D20" s="146"/>
      <c r="E20" s="146"/>
      <c r="F20" s="146"/>
      <c r="G20" s="146"/>
      <c r="H20" s="146"/>
      <c r="I20" s="146"/>
      <c r="J20" s="146"/>
      <c r="K20" s="145"/>
      <c r="L20" s="123" t="str">
        <f>IF('Bozza Assegnazioni'!$F$2=2,"X","")</f>
        <v/>
      </c>
      <c r="M20" s="146"/>
      <c r="N20" s="146"/>
      <c r="O20" s="146"/>
      <c r="P20" s="146"/>
      <c r="Q20" s="146"/>
      <c r="R20" s="146"/>
      <c r="S20" s="146"/>
      <c r="T20" s="147"/>
    </row>
    <row r="21" spans="1:20" ht="5" customHeight="1">
      <c r="A21" s="145"/>
      <c r="B21" s="123"/>
      <c r="C21" s="146"/>
      <c r="D21" s="146"/>
      <c r="E21" s="146"/>
      <c r="F21" s="146"/>
      <c r="G21" s="146"/>
      <c r="H21" s="146"/>
      <c r="I21" s="146"/>
      <c r="J21" s="146"/>
      <c r="K21" s="145"/>
      <c r="L21" s="123"/>
      <c r="M21" s="146"/>
      <c r="N21" s="146"/>
      <c r="O21" s="146"/>
      <c r="P21" s="146"/>
      <c r="Q21" s="146"/>
      <c r="R21" s="146"/>
      <c r="S21" s="146"/>
      <c r="T21" s="147"/>
    </row>
    <row r="22" spans="1:20" ht="9" customHeight="1">
      <c r="A22" s="145"/>
      <c r="B22" s="123" t="str">
        <f>IF('Bozza Assegnazioni'!$F$1=3,"X","")</f>
        <v/>
      </c>
      <c r="C22" s="146"/>
      <c r="D22" s="146"/>
      <c r="E22" s="146"/>
      <c r="F22" s="146"/>
      <c r="G22" s="146"/>
      <c r="H22" s="146"/>
      <c r="I22" s="146"/>
      <c r="J22" s="146"/>
      <c r="K22" s="145"/>
      <c r="L22" s="123" t="str">
        <f>IF('Bozza Assegnazioni'!$F$2=3,"X","")</f>
        <v/>
      </c>
      <c r="M22" s="146"/>
      <c r="N22" s="146"/>
      <c r="O22" s="146"/>
      <c r="P22" s="146"/>
      <c r="Q22" s="146"/>
      <c r="R22" s="146"/>
      <c r="S22" s="146"/>
      <c r="T22" s="147"/>
    </row>
    <row r="23" spans="1:20" ht="99" customHeight="1">
      <c r="A23" s="148"/>
      <c r="B23" s="149"/>
      <c r="C23" s="149"/>
      <c r="D23" s="149"/>
      <c r="E23" s="149"/>
      <c r="F23" s="149"/>
      <c r="G23" s="149"/>
      <c r="H23" s="149"/>
      <c r="I23" s="149"/>
      <c r="J23" s="149"/>
      <c r="K23" s="148"/>
      <c r="L23" s="149"/>
      <c r="M23" s="149"/>
      <c r="N23" s="149"/>
      <c r="O23" s="149"/>
      <c r="P23" s="149"/>
      <c r="Q23" s="149"/>
      <c r="R23" s="149"/>
      <c r="S23" s="149"/>
      <c r="T23" s="150"/>
    </row>
    <row r="24" spans="1:20" ht="48" customHeight="1">
      <c r="A24" s="145"/>
      <c r="B24" s="146"/>
      <c r="C24" s="146"/>
      <c r="D24" s="146"/>
      <c r="E24" s="146"/>
      <c r="F24" s="146"/>
      <c r="G24" s="146"/>
      <c r="H24" s="146"/>
      <c r="I24" s="146"/>
      <c r="J24" s="146"/>
      <c r="K24" s="145"/>
      <c r="L24" s="146"/>
      <c r="M24" s="146"/>
      <c r="N24" s="146"/>
      <c r="O24" s="146"/>
      <c r="P24" s="146"/>
      <c r="Q24" s="146"/>
      <c r="R24" s="146"/>
      <c r="S24" s="146"/>
      <c r="T24" s="126"/>
    </row>
    <row r="25" spans="1:20" ht="19" customHeight="1">
      <c r="A25" s="145"/>
      <c r="B25" s="146"/>
      <c r="C25" s="146"/>
      <c r="D25" s="146"/>
      <c r="E25" s="146"/>
      <c r="F25" s="146"/>
      <c r="G25" s="152">
        <f>'Bozza Assegnazioni'!$B$3</f>
        <v>0</v>
      </c>
      <c r="H25" s="152"/>
      <c r="I25" s="152"/>
      <c r="J25" s="122"/>
      <c r="K25" s="145"/>
      <c r="L25" s="146"/>
      <c r="M25" s="146"/>
      <c r="N25" s="146"/>
      <c r="O25" s="146"/>
      <c r="P25" s="146"/>
      <c r="Q25" s="152">
        <f>'Bozza Assegnazioni'!$B$4</f>
        <v>0</v>
      </c>
      <c r="R25" s="152"/>
      <c r="S25" s="152"/>
      <c r="T25" s="126"/>
    </row>
    <row r="26" spans="1:20" ht="7" customHeight="1">
      <c r="A26" s="145"/>
      <c r="B26" s="146"/>
      <c r="C26" s="146"/>
      <c r="D26" s="146"/>
      <c r="E26" s="146"/>
      <c r="F26" s="146"/>
      <c r="G26" s="146"/>
      <c r="H26" s="146"/>
      <c r="I26" s="146"/>
      <c r="J26" s="146"/>
      <c r="K26" s="145"/>
      <c r="L26" s="146"/>
      <c r="M26" s="146"/>
      <c r="N26" s="146"/>
      <c r="O26" s="146"/>
      <c r="P26" s="146"/>
      <c r="Q26" s="146"/>
      <c r="R26" s="146"/>
      <c r="S26" s="146"/>
      <c r="T26" s="147"/>
    </row>
    <row r="27" spans="1:20" ht="21" customHeight="1">
      <c r="A27" s="145"/>
      <c r="B27" s="146"/>
      <c r="C27" s="146"/>
      <c r="D27" s="146"/>
      <c r="E27" s="152" t="str">
        <f>IF(ISBLANK('Bozza Assegnazioni'!$C$3), "", 'Bozza Assegnazioni'!$C$3)</f>
        <v/>
      </c>
      <c r="F27" s="152"/>
      <c r="G27" s="152"/>
      <c r="H27" s="152"/>
      <c r="I27" s="152"/>
      <c r="J27" s="122"/>
      <c r="K27" s="145"/>
      <c r="L27" s="146"/>
      <c r="M27" s="146"/>
      <c r="N27" s="146"/>
      <c r="O27" s="152" t="str">
        <f>IF(ISBLANK('Bozza Assegnazioni'!$C$4), "", 'Bozza Assegnazioni'!$C$4)</f>
        <v/>
      </c>
      <c r="P27" s="152"/>
      <c r="Q27" s="152"/>
      <c r="R27" s="152"/>
      <c r="S27" s="152"/>
      <c r="T27" s="126"/>
    </row>
    <row r="28" spans="1:20" ht="6" customHeight="1">
      <c r="A28" s="145"/>
      <c r="B28" s="146"/>
      <c r="C28" s="146"/>
      <c r="D28" s="146"/>
      <c r="E28" s="146"/>
      <c r="F28" s="146"/>
      <c r="G28" s="146"/>
      <c r="H28" s="146"/>
      <c r="I28" s="146"/>
      <c r="J28" s="146"/>
      <c r="K28" s="145"/>
      <c r="L28" s="146"/>
      <c r="M28" s="146"/>
      <c r="N28" s="146"/>
      <c r="O28" s="146"/>
      <c r="P28" s="146"/>
      <c r="Q28" s="146"/>
      <c r="R28" s="146"/>
      <c r="S28" s="146"/>
      <c r="T28" s="147"/>
    </row>
    <row r="29" spans="1:20" ht="21" customHeight="1">
      <c r="A29" s="145"/>
      <c r="B29" s="146"/>
      <c r="C29" s="146"/>
      <c r="D29" s="151">
        <f>'Bozza Assegnazioni'!$A$3</f>
        <v>0</v>
      </c>
      <c r="E29" s="152"/>
      <c r="F29" s="152"/>
      <c r="G29" s="152"/>
      <c r="H29" s="152"/>
      <c r="I29" s="152"/>
      <c r="J29" s="122"/>
      <c r="K29" s="145"/>
      <c r="L29" s="146"/>
      <c r="M29" s="146"/>
      <c r="N29" s="151">
        <f>'Bozza Assegnazioni'!$A$4</f>
        <v>0</v>
      </c>
      <c r="O29" s="152"/>
      <c r="P29" s="152"/>
      <c r="Q29" s="152"/>
      <c r="R29" s="152"/>
      <c r="S29" s="152"/>
      <c r="T29" s="126"/>
    </row>
    <row r="30" spans="1:20" ht="9" customHeight="1">
      <c r="A30" s="145"/>
      <c r="B30" s="146"/>
      <c r="C30" s="146"/>
      <c r="D30" s="146"/>
      <c r="E30" s="146"/>
      <c r="F30" s="146"/>
      <c r="G30" s="146"/>
      <c r="H30" s="146"/>
      <c r="I30" s="146"/>
      <c r="J30" s="146"/>
      <c r="K30" s="145"/>
      <c r="L30" s="146"/>
      <c r="M30" s="146"/>
      <c r="N30" s="146"/>
      <c r="O30" s="146"/>
      <c r="P30" s="146"/>
      <c r="Q30" s="146"/>
      <c r="R30" s="146"/>
      <c r="S30" s="146"/>
      <c r="T30" s="147"/>
    </row>
    <row r="31" spans="1:20" ht="18" customHeight="1">
      <c r="A31" s="145"/>
      <c r="B31" s="146"/>
      <c r="C31" s="146"/>
      <c r="D31" s="146"/>
      <c r="E31" s="146"/>
      <c r="F31" s="152">
        <f>'Bozza Assegnazioni'!$D$3</f>
        <v>0</v>
      </c>
      <c r="G31" s="152"/>
      <c r="H31" s="152"/>
      <c r="I31" s="152"/>
      <c r="J31" s="122"/>
      <c r="K31" s="145"/>
      <c r="L31" s="146"/>
      <c r="M31" s="146"/>
      <c r="N31" s="146"/>
      <c r="O31" s="146"/>
      <c r="P31" s="152">
        <f>'Bozza Assegnazioni'!$D$4</f>
        <v>0</v>
      </c>
      <c r="Q31" s="152"/>
      <c r="R31" s="152"/>
      <c r="S31" s="152"/>
      <c r="T31" s="126"/>
    </row>
    <row r="32" spans="1:20" ht="33" customHeight="1">
      <c r="A32" s="145"/>
      <c r="B32" s="146"/>
      <c r="C32" s="146"/>
      <c r="D32" s="146"/>
      <c r="E32" s="146"/>
      <c r="F32" s="146"/>
      <c r="G32" s="146"/>
      <c r="H32" s="146"/>
      <c r="I32" s="146"/>
      <c r="J32" s="146"/>
      <c r="K32" s="145"/>
      <c r="L32" s="146"/>
      <c r="M32" s="146"/>
      <c r="N32" s="146"/>
      <c r="O32" s="146"/>
      <c r="P32" s="146"/>
      <c r="Q32" s="146"/>
      <c r="R32" s="146"/>
      <c r="S32" s="146"/>
      <c r="T32" s="147"/>
    </row>
    <row r="33" spans="1:20" ht="9" customHeight="1">
      <c r="A33" s="145"/>
      <c r="B33" s="123" t="str">
        <f>IF('Bozza Assegnazioni'!$E$3="Lettura biblica","X","")</f>
        <v/>
      </c>
      <c r="C33" s="146"/>
      <c r="D33" s="146"/>
      <c r="E33" s="146"/>
      <c r="F33" s="146"/>
      <c r="G33" s="146"/>
      <c r="H33" s="123" t="str">
        <f>IF('Bozza Assegnazioni'!$E$3="Terza visita ulteriore","X","")</f>
        <v/>
      </c>
      <c r="I33" s="146"/>
      <c r="J33" s="146"/>
      <c r="K33" s="145"/>
      <c r="L33" s="123" t="str">
        <f>IF('Bozza Assegnazioni'!$E$4="Lettura biblica","X","")</f>
        <v/>
      </c>
      <c r="M33" s="146"/>
      <c r="N33" s="146"/>
      <c r="O33" s="146"/>
      <c r="P33" s="146"/>
      <c r="Q33" s="146"/>
      <c r="R33" s="123" t="str">
        <f>IF('Bozza Assegnazioni'!$E$4="Terza visita ulteriore","X","")</f>
        <v/>
      </c>
      <c r="S33" s="146"/>
      <c r="T33" s="147"/>
    </row>
    <row r="34" spans="1:20" ht="4" customHeight="1">
      <c r="A34" s="145"/>
      <c r="B34" s="123"/>
      <c r="C34" s="146"/>
      <c r="D34" s="146"/>
      <c r="E34" s="146"/>
      <c r="F34" s="146"/>
      <c r="G34" s="146"/>
      <c r="H34" s="123"/>
      <c r="I34" s="146"/>
      <c r="J34" s="146"/>
      <c r="K34" s="145"/>
      <c r="L34" s="123"/>
      <c r="M34" s="146"/>
      <c r="N34" s="146"/>
      <c r="O34" s="146"/>
      <c r="P34" s="146"/>
      <c r="Q34" s="146"/>
      <c r="R34" s="123"/>
      <c r="S34" s="146"/>
      <c r="T34" s="147"/>
    </row>
    <row r="35" spans="1:20" ht="8" customHeight="1">
      <c r="A35" s="145"/>
      <c r="B35" s="123" t="str">
        <f>IF('Bozza Assegnazioni'!$E$3="Primo contatto","X","")</f>
        <v/>
      </c>
      <c r="C35" s="146"/>
      <c r="D35" s="146"/>
      <c r="E35" s="146"/>
      <c r="F35" s="146"/>
      <c r="G35" s="146"/>
      <c r="H35" s="123" t="str">
        <f>IF('Bozza Assegnazioni'!$E$3="Studio biblico","X","")</f>
        <v/>
      </c>
      <c r="I35" s="146"/>
      <c r="J35" s="146"/>
      <c r="K35" s="145"/>
      <c r="L35" s="124" t="str">
        <f>IF('Bozza Assegnazioni'!$E$4="Primo contatto","X","")</f>
        <v/>
      </c>
      <c r="M35" s="146"/>
      <c r="N35" s="146"/>
      <c r="O35" s="146"/>
      <c r="P35" s="146"/>
      <c r="Q35" s="146"/>
      <c r="R35" s="123" t="str">
        <f>IF('Bozza Assegnazioni'!$E$4="Studio biblico","X","")</f>
        <v/>
      </c>
      <c r="S35" s="146"/>
      <c r="T35" s="147"/>
    </row>
    <row r="36" spans="1:20" ht="5" customHeight="1">
      <c r="A36" s="145"/>
      <c r="B36" s="123"/>
      <c r="C36" s="146"/>
      <c r="D36" s="146"/>
      <c r="E36" s="146"/>
      <c r="F36" s="146"/>
      <c r="G36" s="146"/>
      <c r="H36" s="123"/>
      <c r="I36" s="146"/>
      <c r="J36" s="146"/>
      <c r="K36" s="145"/>
      <c r="L36" s="123"/>
      <c r="M36" s="146"/>
      <c r="N36" s="146"/>
      <c r="O36" s="146"/>
      <c r="P36" s="146"/>
      <c r="Q36" s="146"/>
      <c r="R36" s="123"/>
      <c r="S36" s="146"/>
      <c r="T36" s="147"/>
    </row>
    <row r="37" spans="1:20" ht="9" customHeight="1">
      <c r="A37" s="145"/>
      <c r="B37" s="123" t="str">
        <f>IF('Bozza Assegnazioni'!$E$3="Prima visita ulteriore","X","")</f>
        <v/>
      </c>
      <c r="C37" s="146"/>
      <c r="D37" s="146"/>
      <c r="E37" s="146"/>
      <c r="F37" s="146"/>
      <c r="G37" s="146"/>
      <c r="H37" s="123" t="str">
        <f>IF('Bozza Assegnazioni'!$E$3="Discorso","X","")</f>
        <v/>
      </c>
      <c r="I37" s="146"/>
      <c r="J37" s="146"/>
      <c r="K37" s="145"/>
      <c r="L37" s="123" t="str">
        <f>IF('Bozza Assegnazioni'!$E$4="Prima visita ulteriore","X","")</f>
        <v/>
      </c>
      <c r="M37" s="146"/>
      <c r="N37" s="146"/>
      <c r="O37" s="146"/>
      <c r="P37" s="146"/>
      <c r="Q37" s="146"/>
      <c r="R37" s="123" t="str">
        <f>IF('Bozza Assegnazioni'!$E$4="Discorso","X","")</f>
        <v/>
      </c>
      <c r="S37" s="146"/>
      <c r="T37" s="147"/>
    </row>
    <row r="38" spans="1:20" ht="5" customHeight="1">
      <c r="A38" s="145"/>
      <c r="B38" s="123"/>
      <c r="C38" s="146"/>
      <c r="D38" s="146"/>
      <c r="E38" s="146"/>
      <c r="F38" s="146"/>
      <c r="G38" s="146"/>
      <c r="H38" s="123"/>
      <c r="I38" s="146"/>
      <c r="J38" s="146"/>
      <c r="K38" s="145"/>
      <c r="L38" s="123"/>
      <c r="M38" s="146"/>
      <c r="N38" s="146"/>
      <c r="O38" s="146"/>
      <c r="P38" s="146"/>
      <c r="Q38" s="146"/>
      <c r="R38" s="123"/>
      <c r="S38" s="146"/>
      <c r="T38" s="147"/>
    </row>
    <row r="39" spans="1:20" ht="10" customHeight="1">
      <c r="A39" s="145"/>
      <c r="B39" s="123" t="str">
        <f>IF('Bozza Assegnazioni'!$E$3="Seconda visita ulteriore","X","")</f>
        <v/>
      </c>
      <c r="C39" s="146"/>
      <c r="D39" s="146"/>
      <c r="E39" s="146"/>
      <c r="F39" s="146"/>
      <c r="G39" s="146"/>
      <c r="H39" s="123"/>
      <c r="I39" s="146"/>
      <c r="J39" s="146"/>
      <c r="K39" s="145"/>
      <c r="L39" s="123" t="str">
        <f>IF('Bozza Assegnazioni'!$E$4="Seconda visita ulteriore","X","")</f>
        <v/>
      </c>
      <c r="M39" s="146"/>
      <c r="N39" s="146"/>
      <c r="O39" s="146"/>
      <c r="P39" s="146"/>
      <c r="Q39" s="146"/>
      <c r="R39" s="123"/>
      <c r="S39" s="146"/>
      <c r="T39" s="147"/>
    </row>
    <row r="40" spans="1:20" ht="22" customHeight="1">
      <c r="A40" s="145"/>
      <c r="B40" s="146"/>
      <c r="C40" s="146"/>
      <c r="D40" s="146"/>
      <c r="E40" s="146"/>
      <c r="F40" s="146"/>
      <c r="G40" s="146"/>
      <c r="H40" s="146"/>
      <c r="I40" s="146"/>
      <c r="J40" s="146"/>
      <c r="K40" s="145"/>
      <c r="L40" s="146"/>
      <c r="M40" s="146"/>
      <c r="N40" s="146"/>
      <c r="O40" s="146"/>
      <c r="P40" s="146"/>
      <c r="Q40" s="146"/>
      <c r="R40" s="146"/>
      <c r="S40" s="146"/>
      <c r="T40" s="147"/>
    </row>
    <row r="41" spans="1:20" ht="8" customHeight="1">
      <c r="A41" s="145"/>
      <c r="B41" s="123" t="str">
        <f>IF('Bozza Assegnazioni'!$F$3=1,"X","")</f>
        <v/>
      </c>
      <c r="C41" s="146"/>
      <c r="D41" s="146"/>
      <c r="E41" s="146"/>
      <c r="F41" s="146"/>
      <c r="G41" s="146"/>
      <c r="H41" s="146"/>
      <c r="I41" s="146"/>
      <c r="J41" s="146"/>
      <c r="K41" s="145"/>
      <c r="L41" s="123" t="str">
        <f>IF('Bozza Assegnazioni'!$F$4=1,"X","")</f>
        <v/>
      </c>
      <c r="M41" s="146"/>
      <c r="N41" s="146"/>
      <c r="O41" s="146"/>
      <c r="P41" s="146"/>
      <c r="Q41" s="146"/>
      <c r="R41" s="146"/>
      <c r="S41" s="146"/>
      <c r="T41" s="147"/>
    </row>
    <row r="42" spans="1:20" ht="6" customHeight="1">
      <c r="A42" s="145"/>
      <c r="B42" s="123"/>
      <c r="C42" s="146"/>
      <c r="D42" s="146"/>
      <c r="E42" s="146"/>
      <c r="F42" s="146"/>
      <c r="G42" s="146"/>
      <c r="H42" s="146"/>
      <c r="I42" s="146"/>
      <c r="J42" s="146"/>
      <c r="K42" s="145"/>
      <c r="L42" s="123"/>
      <c r="M42" s="146"/>
      <c r="N42" s="146"/>
      <c r="O42" s="146"/>
      <c r="P42" s="146"/>
      <c r="Q42" s="146"/>
      <c r="R42" s="146"/>
      <c r="S42" s="146"/>
      <c r="T42" s="147"/>
    </row>
    <row r="43" spans="1:20" ht="8" customHeight="1">
      <c r="A43" s="145"/>
      <c r="B43" s="123" t="str">
        <f>IF('Bozza Assegnazioni'!$F$3=2,"X","")</f>
        <v/>
      </c>
      <c r="C43" s="146"/>
      <c r="D43" s="146"/>
      <c r="E43" s="146"/>
      <c r="F43" s="146"/>
      <c r="G43" s="146"/>
      <c r="H43" s="146"/>
      <c r="I43" s="146"/>
      <c r="J43" s="146"/>
      <c r="K43" s="145"/>
      <c r="L43" s="123" t="str">
        <f>IF('Bozza Assegnazioni'!$F$4=2,"X","")</f>
        <v/>
      </c>
      <c r="M43" s="146"/>
      <c r="N43" s="146"/>
      <c r="O43" s="146"/>
      <c r="P43" s="146"/>
      <c r="Q43" s="146"/>
      <c r="R43" s="146"/>
      <c r="S43" s="146"/>
      <c r="T43" s="147"/>
    </row>
    <row r="44" spans="1:20" ht="5" customHeight="1">
      <c r="A44" s="145"/>
      <c r="B44" s="123"/>
      <c r="C44" s="146"/>
      <c r="D44" s="146"/>
      <c r="E44" s="146"/>
      <c r="F44" s="146"/>
      <c r="G44" s="146"/>
      <c r="H44" s="146"/>
      <c r="I44" s="146"/>
      <c r="J44" s="146"/>
      <c r="K44" s="145"/>
      <c r="L44" s="123"/>
      <c r="M44" s="146"/>
      <c r="N44" s="146"/>
      <c r="O44" s="146"/>
      <c r="P44" s="146"/>
      <c r="Q44" s="146"/>
      <c r="R44" s="146"/>
      <c r="S44" s="146"/>
      <c r="T44" s="147"/>
    </row>
    <row r="45" spans="1:20" ht="9" customHeight="1">
      <c r="A45" s="145"/>
      <c r="B45" s="123" t="str">
        <f>IF('Bozza Assegnazioni'!$F$3=3,"X","")</f>
        <v/>
      </c>
      <c r="C45" s="146"/>
      <c r="D45" s="146"/>
      <c r="E45" s="146"/>
      <c r="F45" s="146"/>
      <c r="G45" s="146"/>
      <c r="H45" s="146"/>
      <c r="I45" s="146"/>
      <c r="J45" s="146"/>
      <c r="K45" s="145"/>
      <c r="L45" s="123" t="str">
        <f>IF('Bozza Assegnazioni'!$F$4=3,"X","")</f>
        <v/>
      </c>
      <c r="M45" s="146"/>
      <c r="N45" s="146"/>
      <c r="O45" s="146"/>
      <c r="P45" s="146"/>
      <c r="Q45" s="146"/>
      <c r="R45" s="146"/>
      <c r="S45" s="146"/>
      <c r="T45" s="147"/>
    </row>
    <row r="46" spans="1:20" ht="99" customHeight="1">
      <c r="A46" s="148"/>
      <c r="B46" s="149"/>
      <c r="C46" s="149"/>
      <c r="D46" s="149"/>
      <c r="E46" s="149"/>
      <c r="F46" s="149"/>
      <c r="G46" s="149"/>
      <c r="H46" s="149"/>
      <c r="I46" s="149"/>
      <c r="J46" s="149"/>
      <c r="K46" s="148"/>
      <c r="L46" s="149"/>
      <c r="M46" s="149"/>
      <c r="N46" s="149"/>
      <c r="O46" s="149"/>
      <c r="P46" s="149"/>
      <c r="Q46" s="149"/>
      <c r="R46" s="149"/>
      <c r="S46" s="149"/>
      <c r="T46" s="150"/>
    </row>
    <row r="47" spans="1:20" ht="48" customHeight="1">
      <c r="A47" s="145"/>
      <c r="B47" s="146"/>
      <c r="C47" s="146"/>
      <c r="D47" s="146"/>
      <c r="E47" s="146"/>
      <c r="F47" s="146"/>
      <c r="G47" s="146"/>
      <c r="H47" s="146"/>
      <c r="I47" s="146"/>
      <c r="J47" s="146"/>
      <c r="K47" s="145"/>
      <c r="L47" s="146"/>
      <c r="M47" s="146"/>
      <c r="N47" s="146"/>
      <c r="O47" s="146"/>
      <c r="P47" s="146"/>
      <c r="Q47" s="146"/>
      <c r="R47" s="146"/>
      <c r="S47" s="146"/>
      <c r="T47" s="126"/>
    </row>
    <row r="48" spans="1:20" ht="19" customHeight="1">
      <c r="A48" s="145"/>
      <c r="B48" s="146"/>
      <c r="C48" s="146"/>
      <c r="D48" s="146"/>
      <c r="E48" s="146"/>
      <c r="F48" s="146"/>
      <c r="G48" s="152">
        <f>'Bozza Assegnazioni'!$B$5</f>
        <v>0</v>
      </c>
      <c r="H48" s="152"/>
      <c r="I48" s="152"/>
      <c r="J48" s="122"/>
      <c r="K48" s="145"/>
      <c r="L48" s="146"/>
      <c r="M48" s="146"/>
      <c r="N48" s="146"/>
      <c r="O48" s="146"/>
      <c r="P48" s="146"/>
      <c r="Q48" s="152">
        <f>'Bozza Assegnazioni'!$B$6</f>
        <v>0</v>
      </c>
      <c r="R48" s="152"/>
      <c r="S48" s="152"/>
      <c r="T48" s="126"/>
    </row>
    <row r="49" spans="1:20" ht="7" customHeight="1">
      <c r="A49" s="145"/>
      <c r="B49" s="146"/>
      <c r="C49" s="146"/>
      <c r="D49" s="146"/>
      <c r="E49" s="146"/>
      <c r="F49" s="146"/>
      <c r="G49" s="146"/>
      <c r="H49" s="146"/>
      <c r="I49" s="146"/>
      <c r="J49" s="146"/>
      <c r="K49" s="145"/>
      <c r="L49" s="146"/>
      <c r="M49" s="146"/>
      <c r="N49" s="146"/>
      <c r="O49" s="146"/>
      <c r="P49" s="146"/>
      <c r="Q49" s="146"/>
      <c r="R49" s="146"/>
      <c r="S49" s="146"/>
      <c r="T49" s="147"/>
    </row>
    <row r="50" spans="1:20" ht="21" customHeight="1">
      <c r="A50" s="145"/>
      <c r="B50" s="146"/>
      <c r="C50" s="146"/>
      <c r="D50" s="146"/>
      <c r="E50" s="152" t="str">
        <f>IF(ISBLANK('Bozza Assegnazioni'!$C$5), "", 'Bozza Assegnazioni'!$C$5)</f>
        <v/>
      </c>
      <c r="F50" s="152"/>
      <c r="G50" s="152"/>
      <c r="H50" s="152"/>
      <c r="I50" s="152"/>
      <c r="J50" s="122"/>
      <c r="K50" s="145"/>
      <c r="L50" s="146"/>
      <c r="M50" s="146"/>
      <c r="N50" s="146"/>
      <c r="O50" s="152" t="str">
        <f>IF(ISBLANK('Bozza Assegnazioni'!$C$6), "", 'Bozza Assegnazioni'!$C$6)</f>
        <v/>
      </c>
      <c r="P50" s="152"/>
      <c r="Q50" s="152"/>
      <c r="R50" s="152"/>
      <c r="S50" s="152"/>
      <c r="T50" s="126"/>
    </row>
    <row r="51" spans="1:20" ht="6" customHeight="1">
      <c r="A51" s="145"/>
      <c r="B51" s="146"/>
      <c r="C51" s="146"/>
      <c r="D51" s="146"/>
      <c r="E51" s="146"/>
      <c r="F51" s="146"/>
      <c r="G51" s="146"/>
      <c r="H51" s="146"/>
      <c r="I51" s="146"/>
      <c r="J51" s="146"/>
      <c r="K51" s="145"/>
      <c r="L51" s="146"/>
      <c r="M51" s="146"/>
      <c r="N51" s="146"/>
      <c r="O51" s="146"/>
      <c r="P51" s="146"/>
      <c r="Q51" s="146"/>
      <c r="R51" s="146"/>
      <c r="S51" s="146"/>
      <c r="T51" s="147"/>
    </row>
    <row r="52" spans="1:20" ht="21" customHeight="1">
      <c r="A52" s="145"/>
      <c r="B52" s="146"/>
      <c r="C52" s="146"/>
      <c r="D52" s="151">
        <f>'Bozza Assegnazioni'!$A$5</f>
        <v>0</v>
      </c>
      <c r="E52" s="152"/>
      <c r="F52" s="152"/>
      <c r="G52" s="152"/>
      <c r="H52" s="152"/>
      <c r="I52" s="152"/>
      <c r="J52" s="122"/>
      <c r="K52" s="145"/>
      <c r="L52" s="146"/>
      <c r="M52" s="146"/>
      <c r="N52" s="151">
        <f>'Bozza Assegnazioni'!$A$6</f>
        <v>0</v>
      </c>
      <c r="O52" s="152"/>
      <c r="P52" s="152"/>
      <c r="Q52" s="152"/>
      <c r="R52" s="152"/>
      <c r="S52" s="152"/>
      <c r="T52" s="126"/>
    </row>
    <row r="53" spans="1:20" ht="9" customHeight="1">
      <c r="A53" s="145"/>
      <c r="B53" s="146"/>
      <c r="C53" s="146"/>
      <c r="D53" s="146"/>
      <c r="E53" s="146"/>
      <c r="F53" s="146"/>
      <c r="G53" s="146"/>
      <c r="H53" s="146"/>
      <c r="I53" s="146"/>
      <c r="J53" s="146"/>
      <c r="K53" s="145"/>
      <c r="L53" s="146"/>
      <c r="M53" s="146"/>
      <c r="N53" s="146"/>
      <c r="O53" s="146"/>
      <c r="P53" s="146"/>
      <c r="Q53" s="146"/>
      <c r="R53" s="146"/>
      <c r="S53" s="146"/>
      <c r="T53" s="147"/>
    </row>
    <row r="54" spans="1:20" ht="18" customHeight="1">
      <c r="A54" s="145"/>
      <c r="B54" s="146"/>
      <c r="C54" s="146"/>
      <c r="D54" s="146"/>
      <c r="E54" s="146"/>
      <c r="F54" s="152">
        <f>'Bozza Assegnazioni'!$D$5</f>
        <v>0</v>
      </c>
      <c r="G54" s="152"/>
      <c r="H54" s="152"/>
      <c r="I54" s="152"/>
      <c r="J54" s="122"/>
      <c r="K54" s="145"/>
      <c r="L54" s="146"/>
      <c r="M54" s="146"/>
      <c r="N54" s="146"/>
      <c r="O54" s="146"/>
      <c r="P54" s="152">
        <f>'Bozza Assegnazioni'!$D$6</f>
        <v>0</v>
      </c>
      <c r="Q54" s="152"/>
      <c r="R54" s="152"/>
      <c r="S54" s="152"/>
      <c r="T54" s="126"/>
    </row>
    <row r="55" spans="1:20" ht="33" customHeight="1">
      <c r="A55" s="145"/>
      <c r="B55" s="146"/>
      <c r="C55" s="146"/>
      <c r="D55" s="146"/>
      <c r="E55" s="146"/>
      <c r="F55" s="146"/>
      <c r="G55" s="146"/>
      <c r="H55" s="146"/>
      <c r="I55" s="146"/>
      <c r="J55" s="146"/>
      <c r="K55" s="145"/>
      <c r="L55" s="146"/>
      <c r="M55" s="146"/>
      <c r="N55" s="146"/>
      <c r="O55" s="146"/>
      <c r="P55" s="146"/>
      <c r="Q55" s="146"/>
      <c r="R55" s="146"/>
      <c r="S55" s="146"/>
      <c r="T55" s="147"/>
    </row>
    <row r="56" spans="1:20" ht="9" customHeight="1">
      <c r="A56" s="145"/>
      <c r="B56" s="123" t="str">
        <f>IF('Bozza Assegnazioni'!$E$5="Lettura biblica","X","")</f>
        <v/>
      </c>
      <c r="C56" s="146"/>
      <c r="D56" s="146"/>
      <c r="E56" s="146"/>
      <c r="F56" s="146"/>
      <c r="G56" s="146"/>
      <c r="H56" s="123" t="str">
        <f>IF('Bozza Assegnazioni'!$E$5="Terza visita ulteriore","X","")</f>
        <v/>
      </c>
      <c r="I56" s="146"/>
      <c r="J56" s="146"/>
      <c r="K56" s="145"/>
      <c r="L56" s="123" t="str">
        <f>IF('Bozza Assegnazioni'!$E$6="Lettura biblica","X","")</f>
        <v/>
      </c>
      <c r="M56" s="146"/>
      <c r="N56" s="146"/>
      <c r="O56" s="146"/>
      <c r="P56" s="146"/>
      <c r="Q56" s="146"/>
      <c r="R56" s="123" t="str">
        <f>IF('Bozza Assegnazioni'!$E$6="Terza visita ulteriore","X","")</f>
        <v/>
      </c>
      <c r="S56" s="146"/>
      <c r="T56" s="147"/>
    </row>
    <row r="57" spans="1:20" ht="4" customHeight="1">
      <c r="A57" s="145"/>
      <c r="B57" s="123"/>
      <c r="C57" s="146"/>
      <c r="D57" s="146"/>
      <c r="E57" s="146"/>
      <c r="F57" s="146"/>
      <c r="G57" s="146"/>
      <c r="H57" s="123"/>
      <c r="I57" s="146"/>
      <c r="J57" s="146"/>
      <c r="K57" s="145"/>
      <c r="L57" s="123"/>
      <c r="M57" s="146"/>
      <c r="N57" s="146"/>
      <c r="O57" s="146"/>
      <c r="P57" s="146"/>
      <c r="Q57" s="146"/>
      <c r="R57" s="123"/>
      <c r="S57" s="146"/>
      <c r="T57" s="147"/>
    </row>
    <row r="58" spans="1:20" ht="8" customHeight="1">
      <c r="A58" s="145"/>
      <c r="B58" s="123" t="str">
        <f>IF('Bozza Assegnazioni'!$E$5="Primo contatto","X","")</f>
        <v/>
      </c>
      <c r="C58" s="146"/>
      <c r="D58" s="146"/>
      <c r="E58" s="146"/>
      <c r="F58" s="146"/>
      <c r="G58" s="146"/>
      <c r="H58" s="123" t="str">
        <f>IF('Bozza Assegnazioni'!$E$5="Studio biblico","X","")</f>
        <v/>
      </c>
      <c r="I58" s="146"/>
      <c r="J58" s="146"/>
      <c r="K58" s="145"/>
      <c r="L58" s="124" t="str">
        <f>IF('Bozza Assegnazioni'!$E$6="Primo contatto","X","")</f>
        <v/>
      </c>
      <c r="M58" s="146"/>
      <c r="N58" s="146"/>
      <c r="O58" s="146"/>
      <c r="P58" s="146"/>
      <c r="Q58" s="146"/>
      <c r="R58" s="123" t="str">
        <f>IF('Bozza Assegnazioni'!$E$6="Studio biblico","X","")</f>
        <v/>
      </c>
      <c r="S58" s="146"/>
      <c r="T58" s="147"/>
    </row>
    <row r="59" spans="1:20" ht="5" customHeight="1">
      <c r="A59" s="145"/>
      <c r="B59" s="123"/>
      <c r="C59" s="146"/>
      <c r="D59" s="146"/>
      <c r="E59" s="146"/>
      <c r="F59" s="146"/>
      <c r="G59" s="146"/>
      <c r="H59" s="123"/>
      <c r="I59" s="146"/>
      <c r="J59" s="146"/>
      <c r="K59" s="145"/>
      <c r="L59" s="123"/>
      <c r="M59" s="146"/>
      <c r="N59" s="146"/>
      <c r="O59" s="146"/>
      <c r="P59" s="146"/>
      <c r="Q59" s="146"/>
      <c r="R59" s="123"/>
      <c r="S59" s="146"/>
      <c r="T59" s="147"/>
    </row>
    <row r="60" spans="1:20" ht="9" customHeight="1">
      <c r="A60" s="145"/>
      <c r="B60" s="123" t="str">
        <f>IF('Bozza Assegnazioni'!$E$5="Prima visita ulteriore","X","")</f>
        <v/>
      </c>
      <c r="C60" s="146"/>
      <c r="D60" s="146"/>
      <c r="E60" s="146"/>
      <c r="F60" s="146"/>
      <c r="G60" s="146"/>
      <c r="H60" s="123" t="str">
        <f>IF('Bozza Assegnazioni'!$E$5="Discorso","X","")</f>
        <v/>
      </c>
      <c r="I60" s="146"/>
      <c r="J60" s="146"/>
      <c r="K60" s="145"/>
      <c r="L60" s="123" t="str">
        <f>IF('Bozza Assegnazioni'!$E$6="Prima visita ulteriore","X","")</f>
        <v/>
      </c>
      <c r="M60" s="146"/>
      <c r="N60" s="146"/>
      <c r="O60" s="146"/>
      <c r="P60" s="146"/>
      <c r="Q60" s="146"/>
      <c r="R60" s="123" t="str">
        <f>IF('Bozza Assegnazioni'!$E$6="Discorso","X","")</f>
        <v/>
      </c>
      <c r="S60" s="146"/>
      <c r="T60" s="147"/>
    </row>
    <row r="61" spans="1:20" ht="5" customHeight="1">
      <c r="A61" s="145"/>
      <c r="B61" s="123"/>
      <c r="C61" s="146"/>
      <c r="D61" s="146"/>
      <c r="E61" s="146"/>
      <c r="F61" s="146"/>
      <c r="G61" s="146"/>
      <c r="H61" s="123"/>
      <c r="I61" s="146"/>
      <c r="J61" s="146"/>
      <c r="K61" s="145"/>
      <c r="L61" s="123"/>
      <c r="M61" s="146"/>
      <c r="N61" s="146"/>
      <c r="O61" s="146"/>
      <c r="P61" s="146"/>
      <c r="Q61" s="146"/>
      <c r="R61" s="123"/>
      <c r="S61" s="146"/>
      <c r="T61" s="147"/>
    </row>
    <row r="62" spans="1:20" ht="10" customHeight="1">
      <c r="A62" s="145"/>
      <c r="B62" s="123" t="str">
        <f>IF('Bozza Assegnazioni'!$E$5="Seconda visita ulteriore","X","")</f>
        <v/>
      </c>
      <c r="C62" s="146"/>
      <c r="D62" s="146"/>
      <c r="E62" s="146"/>
      <c r="F62" s="146"/>
      <c r="G62" s="146"/>
      <c r="H62" s="123"/>
      <c r="I62" s="146"/>
      <c r="J62" s="146"/>
      <c r="K62" s="145"/>
      <c r="L62" s="123" t="str">
        <f>IF('Bozza Assegnazioni'!$E$6="Seconda visita ulteriore","X","")</f>
        <v/>
      </c>
      <c r="M62" s="146"/>
      <c r="N62" s="146"/>
      <c r="O62" s="146"/>
      <c r="P62" s="146"/>
      <c r="Q62" s="146"/>
      <c r="R62" s="123"/>
      <c r="S62" s="146"/>
      <c r="T62" s="147"/>
    </row>
    <row r="63" spans="1:20" ht="22" customHeight="1">
      <c r="A63" s="145"/>
      <c r="B63" s="146"/>
      <c r="C63" s="146"/>
      <c r="D63" s="146"/>
      <c r="E63" s="146"/>
      <c r="F63" s="146"/>
      <c r="G63" s="146"/>
      <c r="H63" s="146"/>
      <c r="I63" s="146"/>
      <c r="J63" s="146"/>
      <c r="K63" s="145"/>
      <c r="L63" s="146"/>
      <c r="M63" s="146"/>
      <c r="N63" s="146"/>
      <c r="O63" s="146"/>
      <c r="P63" s="146"/>
      <c r="Q63" s="146"/>
      <c r="R63" s="146"/>
      <c r="S63" s="146"/>
      <c r="T63" s="147"/>
    </row>
    <row r="64" spans="1:20" ht="8" customHeight="1">
      <c r="A64" s="145"/>
      <c r="B64" s="123" t="str">
        <f>IF('Bozza Assegnazioni'!$F$5=1,"X","")</f>
        <v/>
      </c>
      <c r="C64" s="146"/>
      <c r="D64" s="146"/>
      <c r="E64" s="146"/>
      <c r="F64" s="146"/>
      <c r="G64" s="146"/>
      <c r="H64" s="146"/>
      <c r="I64" s="146"/>
      <c r="J64" s="146"/>
      <c r="K64" s="145"/>
      <c r="L64" s="123" t="str">
        <f>IF('Bozza Assegnazioni'!$F$6=1,"X","")</f>
        <v/>
      </c>
      <c r="M64" s="146"/>
      <c r="N64" s="146"/>
      <c r="O64" s="146"/>
      <c r="P64" s="146"/>
      <c r="Q64" s="146"/>
      <c r="R64" s="146"/>
      <c r="S64" s="146"/>
      <c r="T64" s="147"/>
    </row>
    <row r="65" spans="1:20" ht="6" customHeight="1">
      <c r="A65" s="145"/>
      <c r="B65" s="123"/>
      <c r="C65" s="146"/>
      <c r="D65" s="146"/>
      <c r="E65" s="146"/>
      <c r="F65" s="146"/>
      <c r="G65" s="146"/>
      <c r="H65" s="146"/>
      <c r="I65" s="146"/>
      <c r="J65" s="146"/>
      <c r="K65" s="145"/>
      <c r="L65" s="123"/>
      <c r="M65" s="146"/>
      <c r="N65" s="146"/>
      <c r="O65" s="146"/>
      <c r="P65" s="146"/>
      <c r="Q65" s="146"/>
      <c r="R65" s="146"/>
      <c r="S65" s="146"/>
      <c r="T65" s="147"/>
    </row>
    <row r="66" spans="1:20" ht="8" customHeight="1">
      <c r="A66" s="145"/>
      <c r="B66" s="123" t="str">
        <f>IF('Bozza Assegnazioni'!$F$5=2,"X","")</f>
        <v/>
      </c>
      <c r="C66" s="146"/>
      <c r="D66" s="146"/>
      <c r="E66" s="146"/>
      <c r="F66" s="146"/>
      <c r="G66" s="146"/>
      <c r="H66" s="146"/>
      <c r="I66" s="146"/>
      <c r="J66" s="146"/>
      <c r="K66" s="145"/>
      <c r="L66" s="123" t="str">
        <f>IF('Bozza Assegnazioni'!$F$6=2,"X","")</f>
        <v/>
      </c>
      <c r="M66" s="146"/>
      <c r="N66" s="146"/>
      <c r="O66" s="146"/>
      <c r="P66" s="146"/>
      <c r="Q66" s="146"/>
      <c r="R66" s="146"/>
      <c r="S66" s="146"/>
      <c r="T66" s="147"/>
    </row>
    <row r="67" spans="1:20" ht="5" customHeight="1">
      <c r="A67" s="145"/>
      <c r="B67" s="123"/>
      <c r="C67" s="146"/>
      <c r="D67" s="146"/>
      <c r="E67" s="146"/>
      <c r="F67" s="146"/>
      <c r="G67" s="146"/>
      <c r="H67" s="146"/>
      <c r="I67" s="146"/>
      <c r="J67" s="146"/>
      <c r="K67" s="145"/>
      <c r="L67" s="123"/>
      <c r="M67" s="146"/>
      <c r="N67" s="146"/>
      <c r="O67" s="146"/>
      <c r="P67" s="146"/>
      <c r="Q67" s="146"/>
      <c r="R67" s="146"/>
      <c r="S67" s="146"/>
      <c r="T67" s="147"/>
    </row>
    <row r="68" spans="1:20" ht="9" customHeight="1">
      <c r="A68" s="145"/>
      <c r="B68" s="123" t="str">
        <f>IF('Bozza Assegnazioni'!$F$5=3,"X","")</f>
        <v/>
      </c>
      <c r="C68" s="146"/>
      <c r="D68" s="146"/>
      <c r="E68" s="146"/>
      <c r="F68" s="146"/>
      <c r="G68" s="146"/>
      <c r="H68" s="146"/>
      <c r="I68" s="146"/>
      <c r="J68" s="146"/>
      <c r="K68" s="145"/>
      <c r="L68" s="123" t="str">
        <f>IF('Bozza Assegnazioni'!$F$6=3,"X","")</f>
        <v/>
      </c>
      <c r="M68" s="146"/>
      <c r="N68" s="146"/>
      <c r="O68" s="146"/>
      <c r="P68" s="146"/>
      <c r="Q68" s="146"/>
      <c r="R68" s="146"/>
      <c r="S68" s="146"/>
      <c r="T68" s="147"/>
    </row>
    <row r="69" spans="1:20" ht="99" customHeight="1">
      <c r="A69" s="148"/>
      <c r="B69" s="149"/>
      <c r="C69" s="149"/>
      <c r="D69" s="149"/>
      <c r="E69" s="149"/>
      <c r="F69" s="149"/>
      <c r="G69" s="149"/>
      <c r="H69" s="149"/>
      <c r="I69" s="149"/>
      <c r="J69" s="149"/>
      <c r="K69" s="148"/>
      <c r="L69" s="149"/>
      <c r="M69" s="149"/>
      <c r="N69" s="149"/>
      <c r="O69" s="149"/>
      <c r="P69" s="149"/>
      <c r="Q69" s="149"/>
      <c r="R69" s="149"/>
      <c r="S69" s="149"/>
      <c r="T69" s="150"/>
    </row>
    <row r="70" spans="1:20" ht="48" customHeight="1">
      <c r="A70" s="145"/>
      <c r="B70" s="146"/>
      <c r="C70" s="146"/>
      <c r="D70" s="146"/>
      <c r="E70" s="146"/>
      <c r="F70" s="146"/>
      <c r="G70" s="146"/>
      <c r="H70" s="146"/>
      <c r="I70" s="146"/>
      <c r="J70" s="146"/>
      <c r="K70" s="145"/>
      <c r="L70" s="146"/>
      <c r="M70" s="146"/>
      <c r="N70" s="146"/>
      <c r="O70" s="146"/>
      <c r="P70" s="146"/>
      <c r="Q70" s="146"/>
      <c r="R70" s="146"/>
      <c r="S70" s="146"/>
      <c r="T70" s="126"/>
    </row>
    <row r="71" spans="1:20" ht="19" customHeight="1">
      <c r="A71" s="145"/>
      <c r="B71" s="146"/>
      <c r="C71" s="146"/>
      <c r="D71" s="146"/>
      <c r="E71" s="146"/>
      <c r="F71" s="146"/>
      <c r="G71" s="152">
        <f>'Bozza Assegnazioni'!$B$7</f>
        <v>0</v>
      </c>
      <c r="H71" s="152"/>
      <c r="I71" s="152"/>
      <c r="J71" s="122"/>
      <c r="K71" s="145"/>
      <c r="L71" s="146"/>
      <c r="M71" s="146"/>
      <c r="N71" s="146"/>
      <c r="O71" s="146"/>
      <c r="P71" s="146"/>
      <c r="Q71" s="152">
        <f>'Bozza Assegnazioni'!$B$8</f>
        <v>0</v>
      </c>
      <c r="R71" s="152"/>
      <c r="S71" s="152"/>
      <c r="T71" s="126"/>
    </row>
    <row r="72" spans="1:20" ht="7" customHeight="1">
      <c r="A72" s="145"/>
      <c r="B72" s="146"/>
      <c r="C72" s="146"/>
      <c r="D72" s="146"/>
      <c r="E72" s="146"/>
      <c r="F72" s="146"/>
      <c r="G72" s="146"/>
      <c r="H72" s="146"/>
      <c r="I72" s="146"/>
      <c r="J72" s="146"/>
      <c r="K72" s="145"/>
      <c r="L72" s="146"/>
      <c r="M72" s="146"/>
      <c r="N72" s="146"/>
      <c r="O72" s="146"/>
      <c r="P72" s="146"/>
      <c r="Q72" s="146"/>
      <c r="R72" s="146"/>
      <c r="S72" s="146"/>
      <c r="T72" s="147"/>
    </row>
    <row r="73" spans="1:20" ht="21" customHeight="1">
      <c r="A73" s="145"/>
      <c r="B73" s="146"/>
      <c r="C73" s="146"/>
      <c r="D73" s="146"/>
      <c r="E73" s="152" t="str">
        <f>IF(ISBLANK('Bozza Assegnazioni'!$C$7), "", 'Bozza Assegnazioni'!$C$7)</f>
        <v/>
      </c>
      <c r="F73" s="152"/>
      <c r="G73" s="152"/>
      <c r="H73" s="152"/>
      <c r="I73" s="152"/>
      <c r="J73" s="122"/>
      <c r="K73" s="145"/>
      <c r="L73" s="146"/>
      <c r="M73" s="146"/>
      <c r="N73" s="146"/>
      <c r="O73" s="152" t="str">
        <f>IF(ISBLANK('Bozza Assegnazioni'!$C$8), "", 'Bozza Assegnazioni'!$C$8)</f>
        <v/>
      </c>
      <c r="P73" s="152"/>
      <c r="Q73" s="152"/>
      <c r="R73" s="152"/>
      <c r="S73" s="152"/>
      <c r="T73" s="126"/>
    </row>
    <row r="74" spans="1:20" ht="6" customHeight="1">
      <c r="A74" s="145"/>
      <c r="B74" s="146"/>
      <c r="C74" s="146"/>
      <c r="D74" s="146"/>
      <c r="E74" s="146"/>
      <c r="F74" s="146"/>
      <c r="G74" s="146"/>
      <c r="H74" s="146"/>
      <c r="I74" s="146"/>
      <c r="J74" s="146"/>
      <c r="K74" s="145"/>
      <c r="L74" s="146"/>
      <c r="M74" s="146"/>
      <c r="N74" s="146"/>
      <c r="O74" s="146"/>
      <c r="P74" s="146"/>
      <c r="Q74" s="146"/>
      <c r="R74" s="146"/>
      <c r="S74" s="146"/>
      <c r="T74" s="147"/>
    </row>
    <row r="75" spans="1:20" ht="21" customHeight="1">
      <c r="A75" s="145"/>
      <c r="B75" s="146"/>
      <c r="C75" s="146"/>
      <c r="D75" s="151">
        <f>'Bozza Assegnazioni'!$A$7</f>
        <v>0</v>
      </c>
      <c r="E75" s="152"/>
      <c r="F75" s="152"/>
      <c r="G75" s="152"/>
      <c r="H75" s="152"/>
      <c r="I75" s="152"/>
      <c r="J75" s="122"/>
      <c r="K75" s="145"/>
      <c r="L75" s="146"/>
      <c r="M75" s="146"/>
      <c r="N75" s="151">
        <f>'Bozza Assegnazioni'!$A$8</f>
        <v>0</v>
      </c>
      <c r="O75" s="152"/>
      <c r="P75" s="152"/>
      <c r="Q75" s="152"/>
      <c r="R75" s="152"/>
      <c r="S75" s="152"/>
      <c r="T75" s="126"/>
    </row>
    <row r="76" spans="1:20" ht="9" customHeight="1">
      <c r="A76" s="145"/>
      <c r="B76" s="146"/>
      <c r="C76" s="146"/>
      <c r="D76" s="146"/>
      <c r="E76" s="146"/>
      <c r="F76" s="146"/>
      <c r="G76" s="146"/>
      <c r="H76" s="146"/>
      <c r="I76" s="146"/>
      <c r="J76" s="146"/>
      <c r="K76" s="145"/>
      <c r="L76" s="146"/>
      <c r="M76" s="146"/>
      <c r="N76" s="146"/>
      <c r="O76" s="146"/>
      <c r="P76" s="146"/>
      <c r="Q76" s="146"/>
      <c r="R76" s="146"/>
      <c r="S76" s="146"/>
      <c r="T76" s="147"/>
    </row>
    <row r="77" spans="1:20" ht="18" customHeight="1">
      <c r="A77" s="145"/>
      <c r="B77" s="146"/>
      <c r="C77" s="146"/>
      <c r="D77" s="146"/>
      <c r="E77" s="146"/>
      <c r="F77" s="152">
        <f>'Bozza Assegnazioni'!$D$7</f>
        <v>0</v>
      </c>
      <c r="G77" s="152"/>
      <c r="H77" s="152"/>
      <c r="I77" s="152"/>
      <c r="J77" s="122"/>
      <c r="K77" s="145"/>
      <c r="L77" s="146"/>
      <c r="M77" s="146"/>
      <c r="N77" s="146"/>
      <c r="O77" s="146"/>
      <c r="P77" s="152">
        <f>'Bozza Assegnazioni'!$D$8</f>
        <v>0</v>
      </c>
      <c r="Q77" s="152"/>
      <c r="R77" s="152"/>
      <c r="S77" s="152"/>
      <c r="T77" s="126"/>
    </row>
    <row r="78" spans="1:20" ht="33" customHeight="1">
      <c r="A78" s="145"/>
      <c r="B78" s="146"/>
      <c r="C78" s="146"/>
      <c r="D78" s="146"/>
      <c r="E78" s="146"/>
      <c r="F78" s="146"/>
      <c r="G78" s="146"/>
      <c r="H78" s="146"/>
      <c r="I78" s="146"/>
      <c r="J78" s="146"/>
      <c r="K78" s="145"/>
      <c r="L78" s="146"/>
      <c r="M78" s="146"/>
      <c r="N78" s="146"/>
      <c r="O78" s="146"/>
      <c r="P78" s="146"/>
      <c r="Q78" s="146"/>
      <c r="R78" s="146"/>
      <c r="S78" s="146"/>
      <c r="T78" s="147"/>
    </row>
    <row r="79" spans="1:20" ht="9" customHeight="1">
      <c r="A79" s="145"/>
      <c r="B79" s="123" t="str">
        <f>IF('Bozza Assegnazioni'!$E$7="Lettura biblica","X","")</f>
        <v/>
      </c>
      <c r="C79" s="146"/>
      <c r="D79" s="146"/>
      <c r="E79" s="146"/>
      <c r="F79" s="146"/>
      <c r="G79" s="146"/>
      <c r="H79" s="123" t="str">
        <f>IF('Bozza Assegnazioni'!$E$7="Terza visita ulteriore","X","")</f>
        <v/>
      </c>
      <c r="I79" s="146"/>
      <c r="J79" s="146"/>
      <c r="K79" s="145"/>
      <c r="L79" s="123" t="str">
        <f>IF('Bozza Assegnazioni'!$E$8="Lettura biblica","X","")</f>
        <v/>
      </c>
      <c r="M79" s="146"/>
      <c r="N79" s="146"/>
      <c r="O79" s="146"/>
      <c r="P79" s="146"/>
      <c r="Q79" s="146"/>
      <c r="R79" s="123" t="str">
        <f>IF('Bozza Assegnazioni'!$E$8="Terza visita ulteriore","X","")</f>
        <v/>
      </c>
      <c r="S79" s="146"/>
      <c r="T79" s="147"/>
    </row>
    <row r="80" spans="1:20" ht="4" customHeight="1">
      <c r="A80" s="145"/>
      <c r="B80" s="123"/>
      <c r="C80" s="146"/>
      <c r="D80" s="146"/>
      <c r="E80" s="146"/>
      <c r="F80" s="146"/>
      <c r="G80" s="146"/>
      <c r="H80" s="123"/>
      <c r="I80" s="146"/>
      <c r="J80" s="146"/>
      <c r="K80" s="145"/>
      <c r="L80" s="123"/>
      <c r="M80" s="146"/>
      <c r="N80" s="146"/>
      <c r="O80" s="146"/>
      <c r="P80" s="146"/>
      <c r="Q80" s="146"/>
      <c r="R80" s="123"/>
      <c r="S80" s="146"/>
      <c r="T80" s="147"/>
    </row>
    <row r="81" spans="1:20" ht="8" customHeight="1">
      <c r="A81" s="145"/>
      <c r="B81" s="123" t="str">
        <f>IF('Bozza Assegnazioni'!$E$7="Primo contatto","X","")</f>
        <v/>
      </c>
      <c r="C81" s="146"/>
      <c r="D81" s="146"/>
      <c r="E81" s="146"/>
      <c r="F81" s="146"/>
      <c r="G81" s="146"/>
      <c r="H81" s="123" t="str">
        <f>IF('Bozza Assegnazioni'!$E$7="Studio biblico","X","")</f>
        <v/>
      </c>
      <c r="I81" s="146"/>
      <c r="J81" s="146"/>
      <c r="K81" s="145"/>
      <c r="L81" s="124" t="str">
        <f>IF('Bozza Assegnazioni'!$E$8="Primo contatto","X","")</f>
        <v/>
      </c>
      <c r="M81" s="146"/>
      <c r="N81" s="146"/>
      <c r="O81" s="146"/>
      <c r="P81" s="146"/>
      <c r="Q81" s="146"/>
      <c r="R81" s="123" t="str">
        <f>IF('Bozza Assegnazioni'!$E$8="Studio biblico","X","")</f>
        <v/>
      </c>
      <c r="S81" s="146"/>
      <c r="T81" s="147"/>
    </row>
    <row r="82" spans="1:20" ht="5" customHeight="1">
      <c r="A82" s="145"/>
      <c r="B82" s="123"/>
      <c r="C82" s="146"/>
      <c r="D82" s="146"/>
      <c r="E82" s="146"/>
      <c r="F82" s="146"/>
      <c r="G82" s="146"/>
      <c r="H82" s="123"/>
      <c r="I82" s="146"/>
      <c r="J82" s="146"/>
      <c r="K82" s="145"/>
      <c r="L82" s="123"/>
      <c r="M82" s="146"/>
      <c r="N82" s="146"/>
      <c r="O82" s="146"/>
      <c r="P82" s="146"/>
      <c r="Q82" s="146"/>
      <c r="R82" s="123"/>
      <c r="S82" s="146"/>
      <c r="T82" s="147"/>
    </row>
    <row r="83" spans="1:20" ht="9" customHeight="1">
      <c r="A83" s="145"/>
      <c r="B83" s="123" t="str">
        <f>IF('Bozza Assegnazioni'!$E$7="Prima visita ulteriore","X","")</f>
        <v/>
      </c>
      <c r="C83" s="146"/>
      <c r="D83" s="146"/>
      <c r="E83" s="146"/>
      <c r="F83" s="146"/>
      <c r="G83" s="146"/>
      <c r="H83" s="123" t="str">
        <f>IF('Bozza Assegnazioni'!$E$7="Discorso","X","")</f>
        <v/>
      </c>
      <c r="I83" s="146"/>
      <c r="J83" s="146"/>
      <c r="K83" s="145"/>
      <c r="L83" s="123" t="str">
        <f>IF('Bozza Assegnazioni'!$E$8="Prima visita ulteriore","X","")</f>
        <v/>
      </c>
      <c r="M83" s="146"/>
      <c r="N83" s="146"/>
      <c r="O83" s="146"/>
      <c r="P83" s="146"/>
      <c r="Q83" s="146"/>
      <c r="R83" s="123" t="str">
        <f>IF('Bozza Assegnazioni'!$E$8="Discorso","X","")</f>
        <v/>
      </c>
      <c r="S83" s="146"/>
      <c r="T83" s="147"/>
    </row>
    <row r="84" spans="1:20" ht="5" customHeight="1">
      <c r="A84" s="145"/>
      <c r="B84" s="123"/>
      <c r="C84" s="146"/>
      <c r="D84" s="146"/>
      <c r="E84" s="146"/>
      <c r="F84" s="146"/>
      <c r="G84" s="146"/>
      <c r="H84" s="123"/>
      <c r="I84" s="146"/>
      <c r="J84" s="146"/>
      <c r="K84" s="145"/>
      <c r="L84" s="123"/>
      <c r="M84" s="146"/>
      <c r="N84" s="146"/>
      <c r="O84" s="146"/>
      <c r="P84" s="146"/>
      <c r="Q84" s="146"/>
      <c r="R84" s="123"/>
      <c r="S84" s="146"/>
      <c r="T84" s="147"/>
    </row>
    <row r="85" spans="1:20" ht="10" customHeight="1">
      <c r="A85" s="145"/>
      <c r="B85" s="123" t="str">
        <f>IF('Bozza Assegnazioni'!$E$7="Seconda visita ulteriore","X","")</f>
        <v/>
      </c>
      <c r="C85" s="146"/>
      <c r="D85" s="146"/>
      <c r="E85" s="146"/>
      <c r="F85" s="146"/>
      <c r="G85" s="146"/>
      <c r="H85" s="123"/>
      <c r="I85" s="146"/>
      <c r="J85" s="146"/>
      <c r="K85" s="145"/>
      <c r="L85" s="123" t="str">
        <f>IF('Bozza Assegnazioni'!$E$8="Seconda visita ulteriore","X","")</f>
        <v/>
      </c>
      <c r="M85" s="146"/>
      <c r="N85" s="146"/>
      <c r="O85" s="146"/>
      <c r="P85" s="146"/>
      <c r="Q85" s="146"/>
      <c r="R85" s="123"/>
      <c r="S85" s="146"/>
      <c r="T85" s="147"/>
    </row>
    <row r="86" spans="1:20" ht="22" customHeight="1">
      <c r="A86" s="145"/>
      <c r="B86" s="146"/>
      <c r="C86" s="146"/>
      <c r="D86" s="146"/>
      <c r="E86" s="146"/>
      <c r="F86" s="146"/>
      <c r="G86" s="146"/>
      <c r="H86" s="146"/>
      <c r="I86" s="146"/>
      <c r="J86" s="146"/>
      <c r="K86" s="145"/>
      <c r="L86" s="146"/>
      <c r="M86" s="146"/>
      <c r="N86" s="146"/>
      <c r="O86" s="146"/>
      <c r="P86" s="146"/>
      <c r="Q86" s="146"/>
      <c r="R86" s="146"/>
      <c r="S86" s="146"/>
      <c r="T86" s="147"/>
    </row>
    <row r="87" spans="1:20" ht="8" customHeight="1">
      <c r="A87" s="145"/>
      <c r="B87" s="123" t="str">
        <f>IF('Bozza Assegnazioni'!$F$7=1,"X","")</f>
        <v/>
      </c>
      <c r="C87" s="146"/>
      <c r="D87" s="146"/>
      <c r="E87" s="146"/>
      <c r="F87" s="146"/>
      <c r="G87" s="146"/>
      <c r="H87" s="146"/>
      <c r="I87" s="146"/>
      <c r="J87" s="146"/>
      <c r="K87" s="145"/>
      <c r="L87" s="123" t="str">
        <f>IF('Bozza Assegnazioni'!$F$8=1,"X","")</f>
        <v/>
      </c>
      <c r="M87" s="146"/>
      <c r="N87" s="146"/>
      <c r="O87" s="146"/>
      <c r="P87" s="146"/>
      <c r="Q87" s="146"/>
      <c r="R87" s="146"/>
      <c r="S87" s="146"/>
      <c r="T87" s="147"/>
    </row>
    <row r="88" spans="1:20" ht="6" customHeight="1">
      <c r="A88" s="145"/>
      <c r="B88" s="123"/>
      <c r="C88" s="146"/>
      <c r="D88" s="146"/>
      <c r="E88" s="146"/>
      <c r="F88" s="146"/>
      <c r="G88" s="146"/>
      <c r="H88" s="146"/>
      <c r="I88" s="146"/>
      <c r="J88" s="146"/>
      <c r="K88" s="145"/>
      <c r="L88" s="123"/>
      <c r="M88" s="146"/>
      <c r="N88" s="146"/>
      <c r="O88" s="146"/>
      <c r="P88" s="146"/>
      <c r="Q88" s="146"/>
      <c r="R88" s="146"/>
      <c r="S88" s="146"/>
      <c r="T88" s="147"/>
    </row>
    <row r="89" spans="1:20" ht="8" customHeight="1">
      <c r="A89" s="145"/>
      <c r="B89" s="123" t="str">
        <f>IF('Bozza Assegnazioni'!$F$7=2,"X","")</f>
        <v/>
      </c>
      <c r="C89" s="146"/>
      <c r="D89" s="146"/>
      <c r="E89" s="146"/>
      <c r="F89" s="146"/>
      <c r="G89" s="146"/>
      <c r="H89" s="146"/>
      <c r="I89" s="146"/>
      <c r="J89" s="146"/>
      <c r="K89" s="145"/>
      <c r="L89" s="123" t="str">
        <f>IF('Bozza Assegnazioni'!$F$8=2,"X","")</f>
        <v/>
      </c>
      <c r="M89" s="146"/>
      <c r="N89" s="146"/>
      <c r="O89" s="146"/>
      <c r="P89" s="146"/>
      <c r="Q89" s="146"/>
      <c r="R89" s="146"/>
      <c r="S89" s="146"/>
      <c r="T89" s="147"/>
    </row>
    <row r="90" spans="1:20" ht="5" customHeight="1">
      <c r="A90" s="145"/>
      <c r="B90" s="123"/>
      <c r="C90" s="146"/>
      <c r="D90" s="146"/>
      <c r="E90" s="146"/>
      <c r="F90" s="146"/>
      <c r="G90" s="146"/>
      <c r="H90" s="146"/>
      <c r="I90" s="146"/>
      <c r="J90" s="146"/>
      <c r="K90" s="145"/>
      <c r="L90" s="123"/>
      <c r="M90" s="146"/>
      <c r="N90" s="146"/>
      <c r="O90" s="146"/>
      <c r="P90" s="146"/>
      <c r="Q90" s="146"/>
      <c r="R90" s="146"/>
      <c r="S90" s="146"/>
      <c r="T90" s="147"/>
    </row>
    <row r="91" spans="1:20" ht="9" customHeight="1">
      <c r="A91" s="145"/>
      <c r="B91" s="123" t="str">
        <f>IF('Bozza Assegnazioni'!$F$7=3,"X","")</f>
        <v/>
      </c>
      <c r="C91" s="146"/>
      <c r="D91" s="146"/>
      <c r="E91" s="146"/>
      <c r="F91" s="146"/>
      <c r="G91" s="146"/>
      <c r="H91" s="146"/>
      <c r="I91" s="146"/>
      <c r="J91" s="146"/>
      <c r="K91" s="145"/>
      <c r="L91" s="123" t="str">
        <f>IF('Bozza Assegnazioni'!$F$8=3,"X","")</f>
        <v/>
      </c>
      <c r="M91" s="146"/>
      <c r="N91" s="146"/>
      <c r="O91" s="146"/>
      <c r="P91" s="146"/>
      <c r="Q91" s="146"/>
      <c r="R91" s="146"/>
      <c r="S91" s="146"/>
      <c r="T91" s="147"/>
    </row>
    <row r="92" spans="1:20" ht="99" customHeight="1">
      <c r="A92" s="148"/>
      <c r="B92" s="149"/>
      <c r="C92" s="149"/>
      <c r="D92" s="149"/>
      <c r="E92" s="149"/>
      <c r="F92" s="149"/>
      <c r="G92" s="149"/>
      <c r="H92" s="149"/>
      <c r="I92" s="149"/>
      <c r="J92" s="149"/>
      <c r="K92" s="148"/>
      <c r="L92" s="149"/>
      <c r="M92" s="149"/>
      <c r="N92" s="149"/>
      <c r="O92" s="149"/>
      <c r="P92" s="149"/>
      <c r="Q92" s="149"/>
      <c r="R92" s="149"/>
      <c r="S92" s="149"/>
      <c r="T92" s="150"/>
    </row>
    <row r="93" spans="1:20" ht="48" customHeight="1">
      <c r="A93" s="145"/>
      <c r="B93" s="146"/>
      <c r="C93" s="146"/>
      <c r="D93" s="146"/>
      <c r="E93" s="146"/>
      <c r="F93" s="146"/>
      <c r="G93" s="146"/>
      <c r="H93" s="146"/>
      <c r="I93" s="146"/>
      <c r="J93" s="146"/>
      <c r="K93" s="145"/>
      <c r="L93" s="146"/>
      <c r="M93" s="146"/>
      <c r="N93" s="146"/>
      <c r="O93" s="146"/>
      <c r="P93" s="146"/>
      <c r="Q93" s="146"/>
      <c r="R93" s="146"/>
      <c r="S93" s="146"/>
      <c r="T93" s="126"/>
    </row>
    <row r="94" spans="1:20" ht="19" customHeight="1">
      <c r="A94" s="145"/>
      <c r="B94" s="146"/>
      <c r="C94" s="146"/>
      <c r="D94" s="146"/>
      <c r="E94" s="146"/>
      <c r="F94" s="146"/>
      <c r="G94" s="152">
        <f>'Bozza Assegnazioni'!$B$9</f>
        <v>0</v>
      </c>
      <c r="H94" s="152"/>
      <c r="I94" s="152"/>
      <c r="J94" s="122"/>
      <c r="K94" s="145"/>
      <c r="L94" s="146"/>
      <c r="M94" s="146"/>
      <c r="N94" s="146"/>
      <c r="O94" s="146"/>
      <c r="P94" s="146"/>
      <c r="Q94" s="152">
        <f>'Bozza Assegnazioni'!$B$10</f>
        <v>0</v>
      </c>
      <c r="R94" s="152"/>
      <c r="S94" s="152"/>
      <c r="T94" s="126"/>
    </row>
    <row r="95" spans="1:20" ht="7" customHeight="1">
      <c r="A95" s="145"/>
      <c r="B95" s="146"/>
      <c r="C95" s="146"/>
      <c r="D95" s="146"/>
      <c r="E95" s="146"/>
      <c r="F95" s="146"/>
      <c r="G95" s="146"/>
      <c r="H95" s="146"/>
      <c r="I95" s="146"/>
      <c r="J95" s="146"/>
      <c r="K95" s="145"/>
      <c r="L95" s="146"/>
      <c r="M95" s="146"/>
      <c r="N95" s="146"/>
      <c r="O95" s="146"/>
      <c r="P95" s="146"/>
      <c r="Q95" s="146"/>
      <c r="R95" s="146"/>
      <c r="S95" s="146"/>
      <c r="T95" s="147"/>
    </row>
    <row r="96" spans="1:20" ht="21" customHeight="1">
      <c r="A96" s="145"/>
      <c r="B96" s="146"/>
      <c r="C96" s="146"/>
      <c r="D96" s="146"/>
      <c r="E96" s="152" t="str">
        <f>IF(ISBLANK('Bozza Assegnazioni'!$C$9), "", 'Bozza Assegnazioni'!$C$9)</f>
        <v/>
      </c>
      <c r="F96" s="152"/>
      <c r="G96" s="152"/>
      <c r="H96" s="152"/>
      <c r="I96" s="152"/>
      <c r="J96" s="122"/>
      <c r="K96" s="145"/>
      <c r="L96" s="146"/>
      <c r="M96" s="146"/>
      <c r="N96" s="146"/>
      <c r="O96" s="152" t="str">
        <f>IF(ISBLANK('Bozza Assegnazioni'!$C$10), "", 'Bozza Assegnazioni'!$C$10)</f>
        <v/>
      </c>
      <c r="P96" s="152"/>
      <c r="Q96" s="152"/>
      <c r="R96" s="152"/>
      <c r="S96" s="152"/>
      <c r="T96" s="126"/>
    </row>
    <row r="97" spans="1:20" ht="6" customHeight="1">
      <c r="A97" s="145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6"/>
      <c r="M97" s="146"/>
      <c r="N97" s="146"/>
      <c r="O97" s="146"/>
      <c r="P97" s="146"/>
      <c r="Q97" s="146"/>
      <c r="R97" s="146"/>
      <c r="S97" s="146"/>
      <c r="T97" s="147"/>
    </row>
    <row r="98" spans="1:20" ht="21" customHeight="1">
      <c r="A98" s="145"/>
      <c r="B98" s="146"/>
      <c r="C98" s="146"/>
      <c r="D98" s="151">
        <f>'Bozza Assegnazioni'!$A$9</f>
        <v>0</v>
      </c>
      <c r="E98" s="152"/>
      <c r="F98" s="152"/>
      <c r="G98" s="152"/>
      <c r="H98" s="152"/>
      <c r="I98" s="152"/>
      <c r="J98" s="122"/>
      <c r="K98" s="145"/>
      <c r="L98" s="146"/>
      <c r="M98" s="146"/>
      <c r="N98" s="151">
        <f>'Bozza Assegnazioni'!$A$10</f>
        <v>0</v>
      </c>
      <c r="O98" s="152"/>
      <c r="P98" s="152"/>
      <c r="Q98" s="152"/>
      <c r="R98" s="152"/>
      <c r="S98" s="152"/>
      <c r="T98" s="126"/>
    </row>
    <row r="99" spans="1:20" ht="9" customHeight="1">
      <c r="A99" s="145"/>
      <c r="B99" s="146"/>
      <c r="C99" s="146"/>
      <c r="D99" s="146"/>
      <c r="E99" s="146"/>
      <c r="F99" s="146"/>
      <c r="G99" s="146"/>
      <c r="H99" s="146"/>
      <c r="I99" s="146"/>
      <c r="J99" s="146"/>
      <c r="K99" s="145"/>
      <c r="L99" s="146"/>
      <c r="M99" s="146"/>
      <c r="N99" s="146"/>
      <c r="O99" s="146"/>
      <c r="P99" s="146"/>
      <c r="Q99" s="146"/>
      <c r="R99" s="146"/>
      <c r="S99" s="146"/>
      <c r="T99" s="147"/>
    </row>
    <row r="100" spans="1:20" ht="18" customHeight="1">
      <c r="A100" s="145"/>
      <c r="B100" s="146"/>
      <c r="C100" s="146"/>
      <c r="D100" s="146"/>
      <c r="E100" s="146"/>
      <c r="F100" s="152">
        <f>'Bozza Assegnazioni'!$D$9</f>
        <v>0</v>
      </c>
      <c r="G100" s="152"/>
      <c r="H100" s="152"/>
      <c r="I100" s="152"/>
      <c r="J100" s="122"/>
      <c r="K100" s="145"/>
      <c r="L100" s="146"/>
      <c r="M100" s="146"/>
      <c r="N100" s="146"/>
      <c r="O100" s="146"/>
      <c r="P100" s="152">
        <f>'Bozza Assegnazioni'!$D$10</f>
        <v>0</v>
      </c>
      <c r="Q100" s="152"/>
      <c r="R100" s="152"/>
      <c r="S100" s="152"/>
      <c r="T100" s="126"/>
    </row>
    <row r="101" spans="1:20" ht="33" customHeight="1">
      <c r="A101" s="145"/>
      <c r="B101" s="146"/>
      <c r="C101" s="146"/>
      <c r="D101" s="146"/>
      <c r="E101" s="146"/>
      <c r="F101" s="146"/>
      <c r="G101" s="146"/>
      <c r="H101" s="146"/>
      <c r="I101" s="146"/>
      <c r="J101" s="146"/>
      <c r="K101" s="145"/>
      <c r="L101" s="146"/>
      <c r="M101" s="146"/>
      <c r="N101" s="146"/>
      <c r="O101" s="146"/>
      <c r="P101" s="146"/>
      <c r="Q101" s="146"/>
      <c r="R101" s="146"/>
      <c r="S101" s="146"/>
      <c r="T101" s="147"/>
    </row>
    <row r="102" spans="1:20" ht="9" customHeight="1">
      <c r="A102" s="145"/>
      <c r="B102" s="123" t="str">
        <f>IF('Bozza Assegnazioni'!$E$9="Lettura biblica","X","")</f>
        <v/>
      </c>
      <c r="C102" s="146"/>
      <c r="D102" s="146"/>
      <c r="E102" s="146"/>
      <c r="F102" s="146"/>
      <c r="G102" s="146"/>
      <c r="H102" s="123" t="str">
        <f>IF('Bozza Assegnazioni'!$E$9="Terza visita ulteriore","X","")</f>
        <v/>
      </c>
      <c r="I102" s="146"/>
      <c r="J102" s="146"/>
      <c r="K102" s="145"/>
      <c r="L102" s="123" t="str">
        <f>IF('Bozza Assegnazioni'!$E$10="Lettura biblica","X","")</f>
        <v/>
      </c>
      <c r="M102" s="146"/>
      <c r="N102" s="146"/>
      <c r="O102" s="146"/>
      <c r="P102" s="146"/>
      <c r="Q102" s="146"/>
      <c r="R102" s="123" t="str">
        <f>IF('Bozza Assegnazioni'!$E$10="Terza visita ulteriore","X","")</f>
        <v/>
      </c>
      <c r="S102" s="146"/>
      <c r="T102" s="147"/>
    </row>
    <row r="103" spans="1:20" ht="4" customHeight="1">
      <c r="A103" s="145"/>
      <c r="B103" s="123"/>
      <c r="C103" s="146"/>
      <c r="D103" s="146"/>
      <c r="E103" s="146"/>
      <c r="F103" s="146"/>
      <c r="G103" s="146"/>
      <c r="H103" s="123"/>
      <c r="I103" s="146"/>
      <c r="J103" s="146"/>
      <c r="K103" s="145"/>
      <c r="L103" s="123"/>
      <c r="M103" s="146"/>
      <c r="N103" s="146"/>
      <c r="O103" s="146"/>
      <c r="P103" s="146"/>
      <c r="Q103" s="146"/>
      <c r="R103" s="123"/>
      <c r="S103" s="146"/>
      <c r="T103" s="147"/>
    </row>
    <row r="104" spans="1:20" ht="8" customHeight="1">
      <c r="A104" s="145"/>
      <c r="B104" s="123" t="str">
        <f>IF('Bozza Assegnazioni'!$E$9="Primo contatto","X","")</f>
        <v/>
      </c>
      <c r="C104" s="146"/>
      <c r="D104" s="146"/>
      <c r="E104" s="146"/>
      <c r="F104" s="146"/>
      <c r="G104" s="146"/>
      <c r="H104" s="123" t="str">
        <f>IF('Bozza Assegnazioni'!$E$9="Studio biblico","X","")</f>
        <v/>
      </c>
      <c r="I104" s="146"/>
      <c r="J104" s="146"/>
      <c r="K104" s="145"/>
      <c r="L104" s="124" t="str">
        <f>IF('Bozza Assegnazioni'!$E$10="Primo contatto","X","")</f>
        <v/>
      </c>
      <c r="M104" s="146"/>
      <c r="N104" s="146"/>
      <c r="O104" s="146"/>
      <c r="P104" s="146"/>
      <c r="Q104" s="146"/>
      <c r="R104" s="123" t="str">
        <f>IF('Bozza Assegnazioni'!$E$10="Studio biblico","X","")</f>
        <v/>
      </c>
      <c r="S104" s="146"/>
      <c r="T104" s="147"/>
    </row>
    <row r="105" spans="1:20" ht="5" customHeight="1">
      <c r="A105" s="145"/>
      <c r="B105" s="123"/>
      <c r="C105" s="146"/>
      <c r="D105" s="146"/>
      <c r="E105" s="146"/>
      <c r="F105" s="146"/>
      <c r="G105" s="146"/>
      <c r="H105" s="123"/>
      <c r="I105" s="146"/>
      <c r="J105" s="146"/>
      <c r="K105" s="145"/>
      <c r="L105" s="123"/>
      <c r="M105" s="146"/>
      <c r="N105" s="146"/>
      <c r="O105" s="146"/>
      <c r="P105" s="146"/>
      <c r="Q105" s="146"/>
      <c r="R105" s="123"/>
      <c r="S105" s="146"/>
      <c r="T105" s="147"/>
    </row>
    <row r="106" spans="1:20" ht="9" customHeight="1">
      <c r="A106" s="145"/>
      <c r="B106" s="123" t="str">
        <f>IF('Bozza Assegnazioni'!$E$9="Prima visita ulteriore","X","")</f>
        <v/>
      </c>
      <c r="C106" s="146"/>
      <c r="D106" s="146"/>
      <c r="E106" s="146"/>
      <c r="F106" s="146"/>
      <c r="G106" s="146"/>
      <c r="H106" s="123" t="str">
        <f>IF('Bozza Assegnazioni'!$E$9="Discorso","X","")</f>
        <v/>
      </c>
      <c r="I106" s="146"/>
      <c r="J106" s="146"/>
      <c r="K106" s="145"/>
      <c r="L106" s="123" t="str">
        <f>IF('Bozza Assegnazioni'!$E$10="Prima visita ulteriore","X","")</f>
        <v/>
      </c>
      <c r="M106" s="146"/>
      <c r="N106" s="146"/>
      <c r="O106" s="146"/>
      <c r="P106" s="146"/>
      <c r="Q106" s="146"/>
      <c r="R106" s="123" t="str">
        <f>IF('Bozza Assegnazioni'!$E$10="Discorso","X","")</f>
        <v/>
      </c>
      <c r="S106" s="146"/>
      <c r="T106" s="147"/>
    </row>
    <row r="107" spans="1:20" ht="5" customHeight="1">
      <c r="A107" s="145"/>
      <c r="B107" s="123"/>
      <c r="C107" s="146"/>
      <c r="D107" s="146"/>
      <c r="E107" s="146"/>
      <c r="F107" s="146"/>
      <c r="G107" s="146"/>
      <c r="H107" s="123"/>
      <c r="I107" s="146"/>
      <c r="J107" s="146"/>
      <c r="K107" s="145"/>
      <c r="L107" s="123"/>
      <c r="M107" s="146"/>
      <c r="N107" s="146"/>
      <c r="O107" s="146"/>
      <c r="P107" s="146"/>
      <c r="Q107" s="146"/>
      <c r="R107" s="123"/>
      <c r="S107" s="146"/>
      <c r="T107" s="147"/>
    </row>
    <row r="108" spans="1:20" ht="10" customHeight="1">
      <c r="A108" s="145"/>
      <c r="B108" s="123" t="str">
        <f>IF('Bozza Assegnazioni'!$E$9="Seconda visita ulteriore","X","")</f>
        <v/>
      </c>
      <c r="C108" s="146"/>
      <c r="D108" s="146"/>
      <c r="E108" s="146"/>
      <c r="F108" s="146"/>
      <c r="G108" s="146"/>
      <c r="H108" s="123"/>
      <c r="I108" s="146"/>
      <c r="J108" s="146"/>
      <c r="K108" s="145"/>
      <c r="L108" s="123" t="str">
        <f>IF('Bozza Assegnazioni'!$E$10="Seconda visita ulteriore","X","")</f>
        <v/>
      </c>
      <c r="M108" s="146"/>
      <c r="N108" s="146"/>
      <c r="O108" s="146"/>
      <c r="P108" s="146"/>
      <c r="Q108" s="146"/>
      <c r="R108" s="123"/>
      <c r="S108" s="146"/>
      <c r="T108" s="147"/>
    </row>
    <row r="109" spans="1:20" ht="22" customHeight="1">
      <c r="A109" s="145"/>
      <c r="B109" s="146"/>
      <c r="C109" s="146"/>
      <c r="D109" s="146"/>
      <c r="E109" s="146"/>
      <c r="F109" s="146"/>
      <c r="G109" s="146"/>
      <c r="H109" s="146"/>
      <c r="I109" s="146"/>
      <c r="J109" s="146"/>
      <c r="K109" s="145"/>
      <c r="L109" s="146"/>
      <c r="M109" s="146"/>
      <c r="N109" s="146"/>
      <c r="O109" s="146"/>
      <c r="P109" s="146"/>
      <c r="Q109" s="146"/>
      <c r="R109" s="146"/>
      <c r="S109" s="146"/>
      <c r="T109" s="147"/>
    </row>
    <row r="110" spans="1:20" ht="8" customHeight="1">
      <c r="A110" s="145"/>
      <c r="B110" s="123" t="str">
        <f>IF('Bozza Assegnazioni'!$F$9=1,"X","")</f>
        <v/>
      </c>
      <c r="C110" s="146"/>
      <c r="D110" s="146"/>
      <c r="E110" s="146"/>
      <c r="F110" s="146"/>
      <c r="G110" s="146"/>
      <c r="H110" s="146"/>
      <c r="I110" s="146"/>
      <c r="J110" s="146"/>
      <c r="K110" s="145"/>
      <c r="L110" s="123" t="str">
        <f>IF('Bozza Assegnazioni'!$F$10=1,"X","")</f>
        <v/>
      </c>
      <c r="M110" s="146"/>
      <c r="N110" s="146"/>
      <c r="O110" s="146"/>
      <c r="P110" s="146"/>
      <c r="Q110" s="146"/>
      <c r="R110" s="146"/>
      <c r="S110" s="146"/>
      <c r="T110" s="147"/>
    </row>
    <row r="111" spans="1:20" ht="6" customHeight="1">
      <c r="A111" s="145"/>
      <c r="B111" s="123"/>
      <c r="C111" s="146"/>
      <c r="D111" s="146"/>
      <c r="E111" s="146"/>
      <c r="F111" s="146"/>
      <c r="G111" s="146"/>
      <c r="H111" s="146"/>
      <c r="I111" s="146"/>
      <c r="J111" s="146"/>
      <c r="K111" s="145"/>
      <c r="L111" s="123"/>
      <c r="M111" s="146"/>
      <c r="N111" s="146"/>
      <c r="O111" s="146"/>
      <c r="P111" s="146"/>
      <c r="Q111" s="146"/>
      <c r="R111" s="146"/>
      <c r="S111" s="146"/>
      <c r="T111" s="147"/>
    </row>
    <row r="112" spans="1:20" ht="8" customHeight="1">
      <c r="A112" s="145"/>
      <c r="B112" s="123" t="str">
        <f>IF('Bozza Assegnazioni'!$F$9=2,"X","")</f>
        <v/>
      </c>
      <c r="C112" s="146"/>
      <c r="D112" s="146"/>
      <c r="E112" s="146"/>
      <c r="F112" s="146"/>
      <c r="G112" s="146"/>
      <c r="H112" s="146"/>
      <c r="I112" s="146"/>
      <c r="J112" s="146"/>
      <c r="K112" s="145"/>
      <c r="L112" s="123" t="str">
        <f>IF('Bozza Assegnazioni'!$F$10=2,"X","")</f>
        <v/>
      </c>
      <c r="M112" s="146"/>
      <c r="N112" s="146"/>
      <c r="O112" s="146"/>
      <c r="P112" s="146"/>
      <c r="Q112" s="146"/>
      <c r="R112" s="146"/>
      <c r="S112" s="146"/>
      <c r="T112" s="147"/>
    </row>
    <row r="113" spans="1:20" ht="5" customHeight="1">
      <c r="A113" s="145"/>
      <c r="B113" s="123"/>
      <c r="C113" s="146"/>
      <c r="D113" s="146"/>
      <c r="E113" s="146"/>
      <c r="F113" s="146"/>
      <c r="G113" s="146"/>
      <c r="H113" s="146"/>
      <c r="I113" s="146"/>
      <c r="J113" s="146"/>
      <c r="K113" s="145"/>
      <c r="L113" s="123"/>
      <c r="M113" s="146"/>
      <c r="N113" s="146"/>
      <c r="O113" s="146"/>
      <c r="P113" s="146"/>
      <c r="Q113" s="146"/>
      <c r="R113" s="146"/>
      <c r="S113" s="146"/>
      <c r="T113" s="147"/>
    </row>
    <row r="114" spans="1:20" ht="9" customHeight="1">
      <c r="A114" s="145"/>
      <c r="B114" s="123" t="str">
        <f>IF('Bozza Assegnazioni'!$F$9=3,"X","")</f>
        <v/>
      </c>
      <c r="C114" s="146"/>
      <c r="D114" s="146"/>
      <c r="E114" s="146"/>
      <c r="F114" s="146"/>
      <c r="G114" s="146"/>
      <c r="H114" s="146"/>
      <c r="I114" s="146"/>
      <c r="J114" s="146"/>
      <c r="K114" s="145"/>
      <c r="L114" s="123" t="str">
        <f>IF('Bozza Assegnazioni'!$F$10=3,"X","")</f>
        <v/>
      </c>
      <c r="M114" s="146"/>
      <c r="N114" s="146"/>
      <c r="O114" s="146"/>
      <c r="P114" s="146"/>
      <c r="Q114" s="146"/>
      <c r="R114" s="146"/>
      <c r="S114" s="146"/>
      <c r="T114" s="147"/>
    </row>
    <row r="115" spans="1:20" ht="99" customHeight="1">
      <c r="A115" s="148"/>
      <c r="B115" s="149"/>
      <c r="C115" s="149"/>
      <c r="D115" s="149"/>
      <c r="E115" s="149"/>
      <c r="F115" s="149"/>
      <c r="G115" s="149"/>
      <c r="H115" s="149"/>
      <c r="I115" s="149"/>
      <c r="J115" s="149"/>
      <c r="K115" s="148"/>
      <c r="L115" s="149"/>
      <c r="M115" s="149"/>
      <c r="N115" s="149"/>
      <c r="O115" s="149"/>
      <c r="P115" s="149"/>
      <c r="Q115" s="149"/>
      <c r="R115" s="149"/>
      <c r="S115" s="149"/>
      <c r="T115" s="150"/>
    </row>
    <row r="116" spans="1:20" ht="48" customHeight="1">
      <c r="A116" s="145"/>
      <c r="B116" s="146"/>
      <c r="C116" s="146"/>
      <c r="D116" s="146"/>
      <c r="E116" s="146"/>
      <c r="F116" s="146"/>
      <c r="G116" s="146"/>
      <c r="H116" s="146"/>
      <c r="I116" s="146"/>
      <c r="J116" s="146"/>
      <c r="K116" s="145"/>
      <c r="L116" s="146"/>
      <c r="M116" s="146"/>
      <c r="N116" s="146"/>
      <c r="O116" s="146"/>
      <c r="P116" s="146"/>
      <c r="Q116" s="146"/>
      <c r="R116" s="146"/>
      <c r="S116" s="146"/>
      <c r="T116" s="126"/>
    </row>
    <row r="117" spans="1:20" ht="19" customHeight="1">
      <c r="A117" s="145"/>
      <c r="B117" s="146"/>
      <c r="C117" s="146"/>
      <c r="D117" s="146"/>
      <c r="E117" s="146"/>
      <c r="F117" s="146"/>
      <c r="G117" s="152">
        <f>'Bozza Assegnazioni'!$B$11</f>
        <v>0</v>
      </c>
      <c r="H117" s="152"/>
      <c r="I117" s="152"/>
      <c r="J117" s="122"/>
      <c r="K117" s="145"/>
      <c r="L117" s="146"/>
      <c r="M117" s="146"/>
      <c r="N117" s="146"/>
      <c r="O117" s="146"/>
      <c r="P117" s="146"/>
      <c r="Q117" s="152">
        <f>'Bozza Assegnazioni'!$B$12</f>
        <v>0</v>
      </c>
      <c r="R117" s="152"/>
      <c r="S117" s="152"/>
      <c r="T117" s="126"/>
    </row>
    <row r="118" spans="1:20" ht="7" customHeight="1">
      <c r="A118" s="145"/>
      <c r="B118" s="146"/>
      <c r="C118" s="146"/>
      <c r="D118" s="146"/>
      <c r="E118" s="146"/>
      <c r="F118" s="146"/>
      <c r="G118" s="146"/>
      <c r="H118" s="146"/>
      <c r="I118" s="146"/>
      <c r="J118" s="146"/>
      <c r="K118" s="145"/>
      <c r="L118" s="146"/>
      <c r="M118" s="146"/>
      <c r="N118" s="146"/>
      <c r="O118" s="146"/>
      <c r="P118" s="146"/>
      <c r="Q118" s="146"/>
      <c r="R118" s="146"/>
      <c r="S118" s="146"/>
      <c r="T118" s="147"/>
    </row>
    <row r="119" spans="1:20" ht="21" customHeight="1">
      <c r="A119" s="145"/>
      <c r="B119" s="146"/>
      <c r="C119" s="146"/>
      <c r="D119" s="146"/>
      <c r="E119" s="152" t="str">
        <f>IF(ISBLANK('Bozza Assegnazioni'!$C$11), "", 'Bozza Assegnazioni'!$C$11)</f>
        <v/>
      </c>
      <c r="F119" s="152"/>
      <c r="G119" s="152"/>
      <c r="H119" s="152"/>
      <c r="I119" s="152"/>
      <c r="J119" s="122"/>
      <c r="K119" s="145"/>
      <c r="L119" s="146"/>
      <c r="M119" s="146"/>
      <c r="N119" s="146"/>
      <c r="O119" s="152" t="str">
        <f>IF(ISBLANK('Bozza Assegnazioni'!$C$12), "", 'Bozza Assegnazioni'!$C$12)</f>
        <v/>
      </c>
      <c r="P119" s="152"/>
      <c r="Q119" s="152"/>
      <c r="R119" s="152"/>
      <c r="S119" s="152"/>
      <c r="T119" s="126"/>
    </row>
    <row r="120" spans="1:20" ht="6" customHeight="1">
      <c r="A120" s="145"/>
      <c r="B120" s="146"/>
      <c r="C120" s="146"/>
      <c r="D120" s="146"/>
      <c r="E120" s="146"/>
      <c r="F120" s="146"/>
      <c r="G120" s="146"/>
      <c r="H120" s="146"/>
      <c r="I120" s="146"/>
      <c r="J120" s="146"/>
      <c r="K120" s="145"/>
      <c r="L120" s="146"/>
      <c r="M120" s="146"/>
      <c r="N120" s="146"/>
      <c r="O120" s="146"/>
      <c r="P120" s="146"/>
      <c r="Q120" s="146"/>
      <c r="R120" s="146"/>
      <c r="S120" s="146"/>
      <c r="T120" s="147"/>
    </row>
    <row r="121" spans="1:20" ht="21" customHeight="1">
      <c r="A121" s="145"/>
      <c r="B121" s="146"/>
      <c r="C121" s="146"/>
      <c r="D121" s="151">
        <f>'Bozza Assegnazioni'!$A$11</f>
        <v>0</v>
      </c>
      <c r="E121" s="152"/>
      <c r="F121" s="152"/>
      <c r="G121" s="152"/>
      <c r="H121" s="152"/>
      <c r="I121" s="152"/>
      <c r="J121" s="122"/>
      <c r="K121" s="145"/>
      <c r="L121" s="146"/>
      <c r="M121" s="146"/>
      <c r="N121" s="151">
        <f>'Bozza Assegnazioni'!$A$12</f>
        <v>0</v>
      </c>
      <c r="O121" s="152"/>
      <c r="P121" s="152"/>
      <c r="Q121" s="152"/>
      <c r="R121" s="152"/>
      <c r="S121" s="152"/>
      <c r="T121" s="126"/>
    </row>
    <row r="122" spans="1:20" ht="9" customHeight="1">
      <c r="A122" s="145"/>
      <c r="B122" s="146"/>
      <c r="C122" s="146"/>
      <c r="D122" s="146"/>
      <c r="E122" s="146"/>
      <c r="F122" s="146"/>
      <c r="G122" s="146"/>
      <c r="H122" s="146"/>
      <c r="I122" s="146"/>
      <c r="J122" s="146"/>
      <c r="K122" s="145"/>
      <c r="L122" s="146"/>
      <c r="M122" s="146"/>
      <c r="N122" s="146"/>
      <c r="O122" s="146"/>
      <c r="P122" s="146"/>
      <c r="Q122" s="146"/>
      <c r="R122" s="146"/>
      <c r="S122" s="146"/>
      <c r="T122" s="147"/>
    </row>
    <row r="123" spans="1:20" ht="18" customHeight="1">
      <c r="A123" s="145"/>
      <c r="B123" s="146"/>
      <c r="C123" s="146"/>
      <c r="D123" s="146"/>
      <c r="E123" s="146"/>
      <c r="F123" s="152">
        <f>'Bozza Assegnazioni'!$D$11</f>
        <v>0</v>
      </c>
      <c r="G123" s="152"/>
      <c r="H123" s="152"/>
      <c r="I123" s="152"/>
      <c r="J123" s="122"/>
      <c r="K123" s="145"/>
      <c r="L123" s="146"/>
      <c r="M123" s="146"/>
      <c r="N123" s="146"/>
      <c r="O123" s="146"/>
      <c r="P123" s="152">
        <f>'Bozza Assegnazioni'!$D$12</f>
        <v>0</v>
      </c>
      <c r="Q123" s="152"/>
      <c r="R123" s="152"/>
      <c r="S123" s="152"/>
      <c r="T123" s="126"/>
    </row>
    <row r="124" spans="1:20" ht="33" customHeight="1">
      <c r="A124" s="145"/>
      <c r="B124" s="146"/>
      <c r="C124" s="146"/>
      <c r="D124" s="146"/>
      <c r="E124" s="146"/>
      <c r="F124" s="146"/>
      <c r="G124" s="146"/>
      <c r="H124" s="146"/>
      <c r="I124" s="146"/>
      <c r="J124" s="146"/>
      <c r="K124" s="145"/>
      <c r="L124" s="146"/>
      <c r="M124" s="146"/>
      <c r="N124" s="146"/>
      <c r="O124" s="146"/>
      <c r="P124" s="146"/>
      <c r="Q124" s="146"/>
      <c r="R124" s="146"/>
      <c r="S124" s="146"/>
      <c r="T124" s="147"/>
    </row>
    <row r="125" spans="1:20" ht="9" customHeight="1">
      <c r="A125" s="145"/>
      <c r="B125" s="123" t="str">
        <f>IF('Bozza Assegnazioni'!$E$11="Lettura biblica","X","")</f>
        <v/>
      </c>
      <c r="C125" s="146"/>
      <c r="D125" s="146"/>
      <c r="E125" s="146"/>
      <c r="F125" s="146"/>
      <c r="G125" s="146"/>
      <c r="H125" s="123" t="str">
        <f>IF('Bozza Assegnazioni'!$E$11="Terza visita ulteriore","X","")</f>
        <v/>
      </c>
      <c r="I125" s="146"/>
      <c r="J125" s="146"/>
      <c r="K125" s="145"/>
      <c r="L125" s="123" t="str">
        <f>IF('Bozza Assegnazioni'!$E$12="Lettura biblica","X","")</f>
        <v/>
      </c>
      <c r="M125" s="146"/>
      <c r="N125" s="146"/>
      <c r="O125" s="146"/>
      <c r="P125" s="146"/>
      <c r="Q125" s="146"/>
      <c r="R125" s="123" t="str">
        <f>IF('Bozza Assegnazioni'!$E$12="Terza visita ulteriore","X","")</f>
        <v/>
      </c>
      <c r="S125" s="146"/>
      <c r="T125" s="147"/>
    </row>
    <row r="126" spans="1:20" ht="4" customHeight="1">
      <c r="A126" s="145"/>
      <c r="B126" s="123"/>
      <c r="C126" s="146"/>
      <c r="D126" s="146"/>
      <c r="E126" s="146"/>
      <c r="F126" s="146"/>
      <c r="G126" s="146"/>
      <c r="H126" s="123"/>
      <c r="I126" s="146"/>
      <c r="J126" s="146"/>
      <c r="K126" s="145"/>
      <c r="L126" s="123"/>
      <c r="M126" s="146"/>
      <c r="N126" s="146"/>
      <c r="O126" s="146"/>
      <c r="P126" s="146"/>
      <c r="Q126" s="146"/>
      <c r="R126" s="123"/>
      <c r="S126" s="146"/>
      <c r="T126" s="147"/>
    </row>
    <row r="127" spans="1:20" ht="8" customHeight="1">
      <c r="A127" s="145"/>
      <c r="B127" s="123" t="str">
        <f>IF('Bozza Assegnazioni'!$E$11="Primo contatto","X","")</f>
        <v/>
      </c>
      <c r="C127" s="146"/>
      <c r="D127" s="146"/>
      <c r="E127" s="146"/>
      <c r="F127" s="146"/>
      <c r="G127" s="146"/>
      <c r="H127" s="123" t="str">
        <f>IF('Bozza Assegnazioni'!$E$11="Studio biblico","X","")</f>
        <v/>
      </c>
      <c r="I127" s="146"/>
      <c r="J127" s="146"/>
      <c r="K127" s="145"/>
      <c r="L127" s="124" t="str">
        <f>IF('Bozza Assegnazioni'!$E$12="Primo contatto","X","")</f>
        <v/>
      </c>
      <c r="M127" s="146"/>
      <c r="N127" s="146"/>
      <c r="O127" s="146"/>
      <c r="P127" s="146"/>
      <c r="Q127" s="146"/>
      <c r="R127" s="123" t="str">
        <f>IF('Bozza Assegnazioni'!$E$12="Studio biblico","X","")</f>
        <v/>
      </c>
      <c r="S127" s="146"/>
      <c r="T127" s="147"/>
    </row>
    <row r="128" spans="1:20" ht="5" customHeight="1">
      <c r="A128" s="145"/>
      <c r="B128" s="123"/>
      <c r="C128" s="146"/>
      <c r="D128" s="146"/>
      <c r="E128" s="146"/>
      <c r="F128" s="146"/>
      <c r="G128" s="146"/>
      <c r="H128" s="123"/>
      <c r="I128" s="146"/>
      <c r="J128" s="146"/>
      <c r="K128" s="145"/>
      <c r="L128" s="123"/>
      <c r="M128" s="146"/>
      <c r="N128" s="146"/>
      <c r="O128" s="146"/>
      <c r="P128" s="146"/>
      <c r="Q128" s="146"/>
      <c r="R128" s="123"/>
      <c r="S128" s="146"/>
      <c r="T128" s="147"/>
    </row>
    <row r="129" spans="1:20" ht="9" customHeight="1">
      <c r="A129" s="145"/>
      <c r="B129" s="123" t="str">
        <f>IF('Bozza Assegnazioni'!$E$11="Prima visita ulteriore","X","")</f>
        <v/>
      </c>
      <c r="C129" s="146"/>
      <c r="D129" s="146"/>
      <c r="E129" s="146"/>
      <c r="F129" s="146"/>
      <c r="G129" s="146"/>
      <c r="H129" s="123" t="str">
        <f>IF('Bozza Assegnazioni'!$E$11="Discorso","X","")</f>
        <v/>
      </c>
      <c r="I129" s="146"/>
      <c r="J129" s="146"/>
      <c r="K129" s="145"/>
      <c r="L129" s="123" t="str">
        <f>IF('Bozza Assegnazioni'!$E$12="Prima visita ulteriore","X","")</f>
        <v/>
      </c>
      <c r="M129" s="146"/>
      <c r="N129" s="146"/>
      <c r="O129" s="146"/>
      <c r="P129" s="146"/>
      <c r="Q129" s="146"/>
      <c r="R129" s="123" t="str">
        <f>IF('Bozza Assegnazioni'!$E$12="Discorso","X","")</f>
        <v/>
      </c>
      <c r="S129" s="146"/>
      <c r="T129" s="147"/>
    </row>
    <row r="130" spans="1:20" ht="5" customHeight="1">
      <c r="A130" s="145"/>
      <c r="B130" s="123"/>
      <c r="C130" s="146"/>
      <c r="D130" s="146"/>
      <c r="E130" s="146"/>
      <c r="F130" s="146"/>
      <c r="G130" s="146"/>
      <c r="H130" s="123"/>
      <c r="I130" s="146"/>
      <c r="J130" s="146"/>
      <c r="K130" s="145"/>
      <c r="L130" s="123"/>
      <c r="M130" s="146"/>
      <c r="N130" s="146"/>
      <c r="O130" s="146"/>
      <c r="P130" s="146"/>
      <c r="Q130" s="146"/>
      <c r="R130" s="123"/>
      <c r="S130" s="146"/>
      <c r="T130" s="147"/>
    </row>
    <row r="131" spans="1:20" ht="10" customHeight="1">
      <c r="A131" s="145"/>
      <c r="B131" s="123" t="str">
        <f>IF('Bozza Assegnazioni'!$E$11="Seconda visita ulteriore","X","")</f>
        <v/>
      </c>
      <c r="C131" s="146"/>
      <c r="D131" s="146"/>
      <c r="E131" s="146"/>
      <c r="F131" s="146"/>
      <c r="G131" s="146"/>
      <c r="H131" s="123"/>
      <c r="I131" s="146"/>
      <c r="J131" s="146"/>
      <c r="K131" s="145"/>
      <c r="L131" s="123" t="str">
        <f>IF('Bozza Assegnazioni'!$E$12="Seconda visita ulteriore","X","")</f>
        <v/>
      </c>
      <c r="M131" s="146"/>
      <c r="N131" s="146"/>
      <c r="O131" s="146"/>
      <c r="P131" s="146"/>
      <c r="Q131" s="146"/>
      <c r="R131" s="123"/>
      <c r="S131" s="146"/>
      <c r="T131" s="147"/>
    </row>
    <row r="132" spans="1:20" ht="22" customHeight="1">
      <c r="A132" s="145"/>
      <c r="B132" s="146"/>
      <c r="C132" s="146"/>
      <c r="D132" s="146"/>
      <c r="E132" s="146"/>
      <c r="F132" s="146"/>
      <c r="G132" s="146"/>
      <c r="H132" s="146"/>
      <c r="I132" s="146"/>
      <c r="J132" s="146"/>
      <c r="K132" s="145"/>
      <c r="L132" s="146"/>
      <c r="M132" s="146"/>
      <c r="N132" s="146"/>
      <c r="O132" s="146"/>
      <c r="P132" s="146"/>
      <c r="Q132" s="146"/>
      <c r="R132" s="146"/>
      <c r="S132" s="146"/>
      <c r="T132" s="147"/>
    </row>
    <row r="133" spans="1:20" ht="8" customHeight="1">
      <c r="A133" s="145"/>
      <c r="B133" s="123" t="str">
        <f>IF('Bozza Assegnazioni'!$F$11=1,"X","")</f>
        <v/>
      </c>
      <c r="C133" s="146"/>
      <c r="D133" s="146"/>
      <c r="E133" s="146"/>
      <c r="F133" s="146"/>
      <c r="G133" s="146"/>
      <c r="H133" s="146"/>
      <c r="I133" s="146"/>
      <c r="J133" s="146"/>
      <c r="K133" s="145"/>
      <c r="L133" s="123" t="str">
        <f>IF('Bozza Assegnazioni'!$F$12=1,"X","")</f>
        <v/>
      </c>
      <c r="M133" s="146"/>
      <c r="N133" s="146"/>
      <c r="O133" s="146"/>
      <c r="P133" s="146"/>
      <c r="Q133" s="146"/>
      <c r="R133" s="146"/>
      <c r="S133" s="146"/>
      <c r="T133" s="147"/>
    </row>
    <row r="134" spans="1:20" ht="6" customHeight="1">
      <c r="A134" s="145"/>
      <c r="B134" s="123"/>
      <c r="C134" s="146"/>
      <c r="D134" s="146"/>
      <c r="E134" s="146"/>
      <c r="F134" s="146"/>
      <c r="G134" s="146"/>
      <c r="H134" s="146"/>
      <c r="I134" s="146"/>
      <c r="J134" s="146"/>
      <c r="K134" s="145"/>
      <c r="L134" s="123"/>
      <c r="M134" s="146"/>
      <c r="N134" s="146"/>
      <c r="O134" s="146"/>
      <c r="P134" s="146"/>
      <c r="Q134" s="146"/>
      <c r="R134" s="146"/>
      <c r="S134" s="146"/>
      <c r="T134" s="147"/>
    </row>
    <row r="135" spans="1:20" ht="8" customHeight="1">
      <c r="A135" s="145"/>
      <c r="B135" s="123" t="str">
        <f>IF('Bozza Assegnazioni'!$F$11=2,"X","")</f>
        <v/>
      </c>
      <c r="C135" s="146"/>
      <c r="D135" s="146"/>
      <c r="E135" s="146"/>
      <c r="F135" s="146"/>
      <c r="G135" s="146"/>
      <c r="H135" s="146"/>
      <c r="I135" s="146"/>
      <c r="J135" s="146"/>
      <c r="K135" s="145"/>
      <c r="L135" s="123" t="str">
        <f>IF('Bozza Assegnazioni'!$F$12=2,"X","")</f>
        <v/>
      </c>
      <c r="M135" s="146"/>
      <c r="N135" s="146"/>
      <c r="O135" s="146"/>
      <c r="P135" s="146"/>
      <c r="Q135" s="146"/>
      <c r="R135" s="146"/>
      <c r="S135" s="146"/>
      <c r="T135" s="147"/>
    </row>
    <row r="136" spans="1:20" ht="5" customHeight="1">
      <c r="A136" s="145"/>
      <c r="B136" s="123"/>
      <c r="C136" s="146"/>
      <c r="D136" s="146"/>
      <c r="E136" s="146"/>
      <c r="F136" s="146"/>
      <c r="G136" s="146"/>
      <c r="H136" s="146"/>
      <c r="I136" s="146"/>
      <c r="J136" s="146"/>
      <c r="K136" s="145"/>
      <c r="L136" s="123"/>
      <c r="M136" s="146"/>
      <c r="N136" s="146"/>
      <c r="O136" s="146"/>
      <c r="P136" s="146"/>
      <c r="Q136" s="146"/>
      <c r="R136" s="146"/>
      <c r="S136" s="146"/>
      <c r="T136" s="147"/>
    </row>
    <row r="137" spans="1:20" ht="9" customHeight="1">
      <c r="A137" s="145"/>
      <c r="B137" s="123" t="str">
        <f>IF('Bozza Assegnazioni'!$F$11=3,"X","")</f>
        <v/>
      </c>
      <c r="C137" s="146"/>
      <c r="D137" s="146"/>
      <c r="E137" s="146"/>
      <c r="F137" s="146"/>
      <c r="G137" s="146"/>
      <c r="H137" s="146"/>
      <c r="I137" s="146"/>
      <c r="J137" s="146"/>
      <c r="K137" s="145"/>
      <c r="L137" s="123" t="str">
        <f>IF('Bozza Assegnazioni'!$F$12=3,"X","")</f>
        <v/>
      </c>
      <c r="M137" s="146"/>
      <c r="N137" s="146"/>
      <c r="O137" s="146"/>
      <c r="P137" s="146"/>
      <c r="Q137" s="146"/>
      <c r="R137" s="146"/>
      <c r="S137" s="146"/>
      <c r="T137" s="147"/>
    </row>
    <row r="138" spans="1:20" ht="99" customHeight="1">
      <c r="A138" s="148"/>
      <c r="B138" s="149"/>
      <c r="C138" s="149"/>
      <c r="D138" s="149"/>
      <c r="E138" s="149"/>
      <c r="F138" s="149"/>
      <c r="G138" s="149"/>
      <c r="H138" s="149"/>
      <c r="I138" s="149"/>
      <c r="J138" s="149"/>
      <c r="K138" s="148"/>
      <c r="L138" s="149"/>
      <c r="M138" s="149"/>
      <c r="N138" s="149"/>
      <c r="O138" s="149"/>
      <c r="P138" s="149"/>
      <c r="Q138" s="149"/>
      <c r="R138" s="149"/>
      <c r="S138" s="149"/>
      <c r="T138" s="150"/>
    </row>
    <row r="139" spans="1:20" ht="48" customHeight="1">
      <c r="A139" s="145"/>
      <c r="B139" s="146"/>
      <c r="C139" s="146"/>
      <c r="D139" s="146"/>
      <c r="E139" s="146"/>
      <c r="F139" s="146"/>
      <c r="G139" s="146"/>
      <c r="H139" s="146"/>
      <c r="I139" s="146"/>
      <c r="J139" s="146"/>
      <c r="K139" s="145"/>
      <c r="L139" s="146"/>
      <c r="M139" s="146"/>
      <c r="N139" s="146"/>
      <c r="O139" s="146"/>
      <c r="P139" s="146"/>
      <c r="Q139" s="146"/>
      <c r="R139" s="146"/>
      <c r="S139" s="146"/>
      <c r="T139" s="126"/>
    </row>
    <row r="140" spans="1:20" ht="19" customHeight="1">
      <c r="A140" s="145"/>
      <c r="B140" s="146"/>
      <c r="C140" s="146"/>
      <c r="D140" s="146"/>
      <c r="E140" s="146"/>
      <c r="F140" s="146"/>
      <c r="G140" s="152">
        <f>'Bozza Assegnazioni'!$B$13</f>
        <v>0</v>
      </c>
      <c r="H140" s="152"/>
      <c r="I140" s="152"/>
      <c r="J140" s="122"/>
      <c r="K140" s="145"/>
      <c r="L140" s="146"/>
      <c r="M140" s="146"/>
      <c r="N140" s="146"/>
      <c r="O140" s="146"/>
      <c r="P140" s="146"/>
      <c r="Q140" s="152">
        <f>'Bozza Assegnazioni'!$B$14</f>
        <v>0</v>
      </c>
      <c r="R140" s="152"/>
      <c r="S140" s="152"/>
      <c r="T140" s="126"/>
    </row>
    <row r="141" spans="1:20" ht="7" customHeight="1">
      <c r="A141" s="145"/>
      <c r="B141" s="146"/>
      <c r="C141" s="146"/>
      <c r="D141" s="146"/>
      <c r="E141" s="146"/>
      <c r="F141" s="146"/>
      <c r="G141" s="146"/>
      <c r="H141" s="146"/>
      <c r="I141" s="146"/>
      <c r="J141" s="146"/>
      <c r="K141" s="145"/>
      <c r="L141" s="146"/>
      <c r="M141" s="146"/>
      <c r="N141" s="146"/>
      <c r="O141" s="146"/>
      <c r="P141" s="146"/>
      <c r="Q141" s="146"/>
      <c r="R141" s="146"/>
      <c r="S141" s="146"/>
      <c r="T141" s="147"/>
    </row>
    <row r="142" spans="1:20" ht="21" customHeight="1">
      <c r="A142" s="145"/>
      <c r="B142" s="146"/>
      <c r="C142" s="146"/>
      <c r="D142" s="146"/>
      <c r="E142" s="152" t="str">
        <f>IF(ISBLANK('Bozza Assegnazioni'!$C$13), "", 'Bozza Assegnazioni'!$C$13)</f>
        <v/>
      </c>
      <c r="F142" s="152"/>
      <c r="G142" s="152"/>
      <c r="H142" s="152"/>
      <c r="I142" s="152"/>
      <c r="J142" s="122"/>
      <c r="K142" s="145"/>
      <c r="L142" s="146"/>
      <c r="M142" s="146"/>
      <c r="N142" s="146"/>
      <c r="O142" s="152" t="str">
        <f>IF(ISBLANK('Bozza Assegnazioni'!$C$14), "", 'Bozza Assegnazioni'!$C$14)</f>
        <v/>
      </c>
      <c r="P142" s="152"/>
      <c r="Q142" s="152"/>
      <c r="R142" s="152"/>
      <c r="S142" s="152"/>
      <c r="T142" s="126"/>
    </row>
    <row r="143" spans="1:20" ht="6" customHeight="1">
      <c r="A143" s="145"/>
      <c r="B143" s="146"/>
      <c r="C143" s="146"/>
      <c r="D143" s="146"/>
      <c r="E143" s="146"/>
      <c r="F143" s="146"/>
      <c r="G143" s="146"/>
      <c r="H143" s="146"/>
      <c r="I143" s="146"/>
      <c r="J143" s="146"/>
      <c r="K143" s="145"/>
      <c r="L143" s="146"/>
      <c r="M143" s="146"/>
      <c r="N143" s="146"/>
      <c r="O143" s="146"/>
      <c r="P143" s="146"/>
      <c r="Q143" s="146"/>
      <c r="R143" s="146"/>
      <c r="S143" s="146"/>
      <c r="T143" s="147"/>
    </row>
    <row r="144" spans="1:20" ht="21" customHeight="1">
      <c r="A144" s="145"/>
      <c r="B144" s="146"/>
      <c r="C144" s="146"/>
      <c r="D144" s="151">
        <f>'Bozza Assegnazioni'!$A$13</f>
        <v>0</v>
      </c>
      <c r="E144" s="152"/>
      <c r="F144" s="152"/>
      <c r="G144" s="152"/>
      <c r="H144" s="152"/>
      <c r="I144" s="152"/>
      <c r="J144" s="122"/>
      <c r="K144" s="145"/>
      <c r="L144" s="146"/>
      <c r="M144" s="146"/>
      <c r="N144" s="151">
        <f>'Bozza Assegnazioni'!$A$14</f>
        <v>0</v>
      </c>
      <c r="O144" s="152"/>
      <c r="P144" s="152"/>
      <c r="Q144" s="152"/>
      <c r="R144" s="152"/>
      <c r="S144" s="152"/>
      <c r="T144" s="126"/>
    </row>
    <row r="145" spans="1:20" ht="9" customHeight="1">
      <c r="A145" s="145"/>
      <c r="B145" s="146"/>
      <c r="C145" s="146"/>
      <c r="D145" s="146"/>
      <c r="E145" s="146"/>
      <c r="F145" s="146"/>
      <c r="G145" s="146"/>
      <c r="H145" s="146"/>
      <c r="I145" s="146"/>
      <c r="J145" s="146"/>
      <c r="K145" s="145"/>
      <c r="L145" s="146"/>
      <c r="M145" s="146"/>
      <c r="N145" s="146"/>
      <c r="O145" s="146"/>
      <c r="P145" s="146"/>
      <c r="Q145" s="146"/>
      <c r="R145" s="146"/>
      <c r="S145" s="146"/>
      <c r="T145" s="147"/>
    </row>
    <row r="146" spans="1:20" ht="18" customHeight="1">
      <c r="A146" s="145"/>
      <c r="B146" s="146"/>
      <c r="C146" s="146"/>
      <c r="D146" s="146"/>
      <c r="E146" s="146"/>
      <c r="F146" s="152">
        <f>'Bozza Assegnazioni'!$D$13</f>
        <v>0</v>
      </c>
      <c r="G146" s="152"/>
      <c r="H146" s="152"/>
      <c r="I146" s="152"/>
      <c r="J146" s="122"/>
      <c r="K146" s="145"/>
      <c r="L146" s="146"/>
      <c r="M146" s="146"/>
      <c r="N146" s="146"/>
      <c r="O146" s="146"/>
      <c r="P146" s="152">
        <f>'Bozza Assegnazioni'!$D$14</f>
        <v>0</v>
      </c>
      <c r="Q146" s="152"/>
      <c r="R146" s="152"/>
      <c r="S146" s="152"/>
      <c r="T146" s="126"/>
    </row>
    <row r="147" spans="1:20" ht="33" customHeight="1">
      <c r="A147" s="145"/>
      <c r="B147" s="146"/>
      <c r="C147" s="146"/>
      <c r="D147" s="146"/>
      <c r="E147" s="146"/>
      <c r="F147" s="146"/>
      <c r="G147" s="146"/>
      <c r="H147" s="146"/>
      <c r="I147" s="146"/>
      <c r="J147" s="146"/>
      <c r="K147" s="145"/>
      <c r="L147" s="146"/>
      <c r="M147" s="146"/>
      <c r="N147" s="146"/>
      <c r="O147" s="146"/>
      <c r="P147" s="146"/>
      <c r="Q147" s="146"/>
      <c r="R147" s="146"/>
      <c r="S147" s="146"/>
      <c r="T147" s="147"/>
    </row>
    <row r="148" spans="1:20" ht="9" customHeight="1">
      <c r="A148" s="145"/>
      <c r="B148" s="123" t="str">
        <f>IF('Bozza Assegnazioni'!$E$13="Lettura biblica","X","")</f>
        <v/>
      </c>
      <c r="C148" s="146"/>
      <c r="D148" s="146"/>
      <c r="E148" s="146"/>
      <c r="F148" s="146"/>
      <c r="G148" s="146"/>
      <c r="H148" s="123" t="str">
        <f>IF('Bozza Assegnazioni'!$E$13="Terza visita ulteriore","X","")</f>
        <v/>
      </c>
      <c r="I148" s="146"/>
      <c r="J148" s="146"/>
      <c r="K148" s="145"/>
      <c r="L148" s="123" t="str">
        <f>IF('Bozza Assegnazioni'!$E$14="Lettura biblica","X","")</f>
        <v/>
      </c>
      <c r="M148" s="146"/>
      <c r="N148" s="146"/>
      <c r="O148" s="146"/>
      <c r="P148" s="146"/>
      <c r="Q148" s="146"/>
      <c r="R148" s="123" t="str">
        <f>IF('Bozza Assegnazioni'!$E$14="Terza visita ulteriore","X","")</f>
        <v/>
      </c>
      <c r="S148" s="146"/>
      <c r="T148" s="147"/>
    </row>
    <row r="149" spans="1:20" ht="4" customHeight="1">
      <c r="A149" s="145"/>
      <c r="B149" s="123"/>
      <c r="C149" s="146"/>
      <c r="D149" s="146"/>
      <c r="E149" s="146"/>
      <c r="F149" s="146"/>
      <c r="G149" s="146"/>
      <c r="H149" s="123"/>
      <c r="I149" s="146"/>
      <c r="J149" s="146"/>
      <c r="K149" s="145"/>
      <c r="L149" s="123"/>
      <c r="M149" s="146"/>
      <c r="N149" s="146"/>
      <c r="O149" s="146"/>
      <c r="P149" s="146"/>
      <c r="Q149" s="146"/>
      <c r="R149" s="123"/>
      <c r="S149" s="146"/>
      <c r="T149" s="147"/>
    </row>
    <row r="150" spans="1:20" ht="8" customHeight="1">
      <c r="A150" s="145"/>
      <c r="B150" s="123" t="str">
        <f>IF('Bozza Assegnazioni'!$E$13="Primo contatto","X","")</f>
        <v/>
      </c>
      <c r="C150" s="146"/>
      <c r="D150" s="146"/>
      <c r="E150" s="146"/>
      <c r="F150" s="146"/>
      <c r="G150" s="146"/>
      <c r="H150" s="123" t="str">
        <f>IF('Bozza Assegnazioni'!$E$13="Studio biblico","X","")</f>
        <v/>
      </c>
      <c r="I150" s="146"/>
      <c r="J150" s="146"/>
      <c r="K150" s="145"/>
      <c r="L150" s="124" t="str">
        <f>IF('Bozza Assegnazioni'!$E$14="Primo contatto","X","")</f>
        <v/>
      </c>
      <c r="M150" s="146"/>
      <c r="N150" s="146"/>
      <c r="O150" s="146"/>
      <c r="P150" s="146"/>
      <c r="Q150" s="146"/>
      <c r="R150" s="123" t="str">
        <f>IF('Bozza Assegnazioni'!$E$14="Studio biblico","X","")</f>
        <v/>
      </c>
      <c r="S150" s="146"/>
      <c r="T150" s="147"/>
    </row>
    <row r="151" spans="1:20" ht="5" customHeight="1">
      <c r="A151" s="145"/>
      <c r="B151" s="123"/>
      <c r="C151" s="146"/>
      <c r="D151" s="146"/>
      <c r="E151" s="146"/>
      <c r="F151" s="146"/>
      <c r="G151" s="146"/>
      <c r="H151" s="123"/>
      <c r="I151" s="146"/>
      <c r="J151" s="146"/>
      <c r="K151" s="145"/>
      <c r="L151" s="123"/>
      <c r="M151" s="146"/>
      <c r="N151" s="146"/>
      <c r="O151" s="146"/>
      <c r="P151" s="146"/>
      <c r="Q151" s="146"/>
      <c r="R151" s="123"/>
      <c r="S151" s="146"/>
      <c r="T151" s="147"/>
    </row>
    <row r="152" spans="1:20" ht="9" customHeight="1">
      <c r="A152" s="145"/>
      <c r="B152" s="123" t="str">
        <f>IF('Bozza Assegnazioni'!$E$13="Prima visita ulteriore","X","")</f>
        <v/>
      </c>
      <c r="C152" s="146"/>
      <c r="D152" s="146"/>
      <c r="E152" s="146"/>
      <c r="F152" s="146"/>
      <c r="G152" s="146"/>
      <c r="H152" s="123" t="str">
        <f>IF('Bozza Assegnazioni'!$E$13="Discorso","X","")</f>
        <v/>
      </c>
      <c r="I152" s="146"/>
      <c r="J152" s="146"/>
      <c r="K152" s="145"/>
      <c r="L152" s="123" t="str">
        <f>IF('Bozza Assegnazioni'!$E$14="Prima visita ulteriore","X","")</f>
        <v/>
      </c>
      <c r="M152" s="146"/>
      <c r="N152" s="146"/>
      <c r="O152" s="146"/>
      <c r="P152" s="146"/>
      <c r="Q152" s="146"/>
      <c r="R152" s="123" t="str">
        <f>IF('Bozza Assegnazioni'!$E$14="Discorso","X","")</f>
        <v/>
      </c>
      <c r="S152" s="146"/>
      <c r="T152" s="147"/>
    </row>
    <row r="153" spans="1:20" ht="5" customHeight="1">
      <c r="A153" s="145"/>
      <c r="B153" s="123"/>
      <c r="C153" s="146"/>
      <c r="D153" s="146"/>
      <c r="E153" s="146"/>
      <c r="F153" s="146"/>
      <c r="G153" s="146"/>
      <c r="H153" s="123"/>
      <c r="I153" s="146"/>
      <c r="J153" s="146"/>
      <c r="K153" s="145"/>
      <c r="L153" s="123"/>
      <c r="M153" s="146"/>
      <c r="N153" s="146"/>
      <c r="O153" s="146"/>
      <c r="P153" s="146"/>
      <c r="Q153" s="146"/>
      <c r="R153" s="123"/>
      <c r="S153" s="146"/>
      <c r="T153" s="147"/>
    </row>
    <row r="154" spans="1:20" ht="10" customHeight="1">
      <c r="A154" s="145"/>
      <c r="B154" s="123" t="str">
        <f>IF('Bozza Assegnazioni'!$E$13="Seconda visita ulteriore","X","")</f>
        <v/>
      </c>
      <c r="C154" s="146"/>
      <c r="D154" s="146"/>
      <c r="E154" s="146"/>
      <c r="F154" s="146"/>
      <c r="G154" s="146"/>
      <c r="H154" s="123"/>
      <c r="I154" s="146"/>
      <c r="J154" s="146"/>
      <c r="K154" s="145"/>
      <c r="L154" s="123" t="str">
        <f>IF('Bozza Assegnazioni'!$E$14="Seconda visita ulteriore","X","")</f>
        <v/>
      </c>
      <c r="M154" s="146"/>
      <c r="N154" s="146"/>
      <c r="O154" s="146"/>
      <c r="P154" s="146"/>
      <c r="Q154" s="146"/>
      <c r="R154" s="123"/>
      <c r="S154" s="146"/>
      <c r="T154" s="147"/>
    </row>
    <row r="155" spans="1:20" ht="22" customHeight="1">
      <c r="A155" s="145"/>
      <c r="B155" s="146"/>
      <c r="C155" s="146"/>
      <c r="D155" s="146"/>
      <c r="E155" s="146"/>
      <c r="F155" s="146"/>
      <c r="G155" s="146"/>
      <c r="H155" s="146"/>
      <c r="I155" s="146"/>
      <c r="J155" s="146"/>
      <c r="K155" s="145"/>
      <c r="L155" s="146"/>
      <c r="M155" s="146"/>
      <c r="N155" s="146"/>
      <c r="O155" s="146"/>
      <c r="P155" s="146"/>
      <c r="Q155" s="146"/>
      <c r="R155" s="146"/>
      <c r="S155" s="146"/>
      <c r="T155" s="147"/>
    </row>
    <row r="156" spans="1:20" ht="8" customHeight="1">
      <c r="A156" s="145"/>
      <c r="B156" s="123" t="str">
        <f>IF('Bozza Assegnazioni'!$F$13=1,"X","")</f>
        <v/>
      </c>
      <c r="C156" s="146"/>
      <c r="D156" s="146"/>
      <c r="E156" s="146"/>
      <c r="F156" s="146"/>
      <c r="G156" s="146"/>
      <c r="H156" s="146"/>
      <c r="I156" s="146"/>
      <c r="J156" s="146"/>
      <c r="K156" s="145"/>
      <c r="L156" s="123" t="str">
        <f>IF('Bozza Assegnazioni'!$F$14=1,"X","")</f>
        <v/>
      </c>
      <c r="M156" s="146"/>
      <c r="N156" s="146"/>
      <c r="O156" s="146"/>
      <c r="P156" s="146"/>
      <c r="Q156" s="146"/>
      <c r="R156" s="146"/>
      <c r="S156" s="146"/>
      <c r="T156" s="147"/>
    </row>
    <row r="157" spans="1:20" ht="6" customHeight="1">
      <c r="A157" s="145"/>
      <c r="B157" s="123"/>
      <c r="C157" s="146"/>
      <c r="D157" s="146"/>
      <c r="E157" s="146"/>
      <c r="F157" s="146"/>
      <c r="G157" s="146"/>
      <c r="H157" s="146"/>
      <c r="I157" s="146"/>
      <c r="J157" s="146"/>
      <c r="K157" s="145"/>
      <c r="L157" s="123"/>
      <c r="M157" s="146"/>
      <c r="N157" s="146"/>
      <c r="O157" s="146"/>
      <c r="P157" s="146"/>
      <c r="Q157" s="146"/>
      <c r="R157" s="146"/>
      <c r="S157" s="146"/>
      <c r="T157" s="147"/>
    </row>
    <row r="158" spans="1:20" ht="8" customHeight="1">
      <c r="A158" s="145"/>
      <c r="B158" s="123" t="str">
        <f>IF('Bozza Assegnazioni'!$F$13=2,"X","")</f>
        <v/>
      </c>
      <c r="C158" s="146"/>
      <c r="D158" s="146"/>
      <c r="E158" s="146"/>
      <c r="F158" s="146"/>
      <c r="G158" s="146"/>
      <c r="H158" s="146"/>
      <c r="I158" s="146"/>
      <c r="J158" s="146"/>
      <c r="K158" s="145"/>
      <c r="L158" s="123" t="str">
        <f>IF('Bozza Assegnazioni'!$F$14=2,"X","")</f>
        <v/>
      </c>
      <c r="M158" s="146"/>
      <c r="N158" s="146"/>
      <c r="O158" s="146"/>
      <c r="P158" s="146"/>
      <c r="Q158" s="146"/>
      <c r="R158" s="146"/>
      <c r="S158" s="146"/>
      <c r="T158" s="147"/>
    </row>
    <row r="159" spans="1:20" ht="5" customHeight="1">
      <c r="A159" s="145"/>
      <c r="B159" s="123"/>
      <c r="C159" s="146"/>
      <c r="D159" s="146"/>
      <c r="E159" s="146"/>
      <c r="F159" s="146"/>
      <c r="G159" s="146"/>
      <c r="H159" s="146"/>
      <c r="I159" s="146"/>
      <c r="J159" s="146"/>
      <c r="K159" s="145"/>
      <c r="L159" s="123"/>
      <c r="M159" s="146"/>
      <c r="N159" s="146"/>
      <c r="O159" s="146"/>
      <c r="P159" s="146"/>
      <c r="Q159" s="146"/>
      <c r="R159" s="146"/>
      <c r="S159" s="146"/>
      <c r="T159" s="147"/>
    </row>
    <row r="160" spans="1:20" ht="9" customHeight="1">
      <c r="A160" s="145"/>
      <c r="B160" s="123" t="str">
        <f>IF('Bozza Assegnazioni'!$F$13=3,"X","")</f>
        <v/>
      </c>
      <c r="C160" s="146"/>
      <c r="D160" s="146"/>
      <c r="E160" s="146"/>
      <c r="F160" s="146"/>
      <c r="G160" s="146"/>
      <c r="H160" s="146"/>
      <c r="I160" s="146"/>
      <c r="J160" s="146"/>
      <c r="K160" s="145"/>
      <c r="L160" s="123" t="str">
        <f>IF('Bozza Assegnazioni'!$F$14=3,"X","")</f>
        <v/>
      </c>
      <c r="M160" s="146"/>
      <c r="N160" s="146"/>
      <c r="O160" s="146"/>
      <c r="P160" s="146"/>
      <c r="Q160" s="146"/>
      <c r="R160" s="146"/>
      <c r="S160" s="146"/>
      <c r="T160" s="147"/>
    </row>
    <row r="161" spans="1:20" ht="99" customHeight="1">
      <c r="A161" s="148"/>
      <c r="B161" s="149"/>
      <c r="C161" s="149"/>
      <c r="D161" s="149"/>
      <c r="E161" s="149"/>
      <c r="F161" s="149"/>
      <c r="G161" s="149"/>
      <c r="H161" s="149"/>
      <c r="I161" s="149"/>
      <c r="J161" s="149"/>
      <c r="K161" s="148"/>
      <c r="L161" s="149"/>
      <c r="M161" s="149"/>
      <c r="N161" s="149"/>
      <c r="O161" s="149"/>
      <c r="P161" s="149"/>
      <c r="Q161" s="149"/>
      <c r="R161" s="149"/>
      <c r="S161" s="149"/>
      <c r="T161" s="150"/>
    </row>
    <row r="162" spans="1:20" ht="48" customHeight="1">
      <c r="A162" s="145"/>
      <c r="B162" s="146"/>
      <c r="C162" s="146"/>
      <c r="D162" s="146"/>
      <c r="E162" s="146"/>
      <c r="F162" s="146"/>
      <c r="G162" s="146"/>
      <c r="H162" s="146"/>
      <c r="I162" s="146"/>
      <c r="J162" s="146"/>
      <c r="K162" s="145"/>
      <c r="L162" s="146"/>
      <c r="M162" s="146"/>
      <c r="N162" s="146"/>
      <c r="O162" s="146"/>
      <c r="P162" s="146"/>
      <c r="Q162" s="146"/>
      <c r="R162" s="146"/>
      <c r="S162" s="146"/>
      <c r="T162" s="126"/>
    </row>
    <row r="163" spans="1:20" ht="19" customHeight="1">
      <c r="A163" s="145"/>
      <c r="B163" s="146"/>
      <c r="C163" s="146"/>
      <c r="D163" s="146"/>
      <c r="E163" s="146"/>
      <c r="F163" s="146"/>
      <c r="G163" s="152">
        <f>'Bozza Assegnazioni'!$B$15</f>
        <v>0</v>
      </c>
      <c r="H163" s="152"/>
      <c r="I163" s="152"/>
      <c r="J163" s="122"/>
      <c r="K163" s="145"/>
      <c r="L163" s="146"/>
      <c r="M163" s="146"/>
      <c r="N163" s="146"/>
      <c r="O163" s="146"/>
      <c r="P163" s="146"/>
      <c r="Q163" s="152">
        <f>'Bozza Assegnazioni'!$B$16</f>
        <v>0</v>
      </c>
      <c r="R163" s="152"/>
      <c r="S163" s="152"/>
      <c r="T163" s="126"/>
    </row>
    <row r="164" spans="1:20" ht="7" customHeight="1">
      <c r="A164" s="145"/>
      <c r="B164" s="146"/>
      <c r="C164" s="146"/>
      <c r="D164" s="146"/>
      <c r="E164" s="146"/>
      <c r="F164" s="146"/>
      <c r="G164" s="146"/>
      <c r="H164" s="146"/>
      <c r="I164" s="146"/>
      <c r="J164" s="146"/>
      <c r="K164" s="145"/>
      <c r="L164" s="146"/>
      <c r="M164" s="146"/>
      <c r="N164" s="146"/>
      <c r="O164" s="146"/>
      <c r="P164" s="146"/>
      <c r="Q164" s="146"/>
      <c r="R164" s="146"/>
      <c r="S164" s="146"/>
      <c r="T164" s="147"/>
    </row>
    <row r="165" spans="1:20" ht="21" customHeight="1">
      <c r="A165" s="145"/>
      <c r="B165" s="146"/>
      <c r="C165" s="146"/>
      <c r="D165" s="146"/>
      <c r="E165" s="152" t="str">
        <f>IF(ISBLANK('Bozza Assegnazioni'!$C$15), "", 'Bozza Assegnazioni'!$C$15)</f>
        <v/>
      </c>
      <c r="F165" s="152"/>
      <c r="G165" s="152"/>
      <c r="H165" s="152"/>
      <c r="I165" s="152"/>
      <c r="J165" s="122"/>
      <c r="K165" s="145"/>
      <c r="L165" s="146"/>
      <c r="M165" s="146"/>
      <c r="N165" s="146"/>
      <c r="O165" s="152" t="str">
        <f>IF(ISBLANK('Bozza Assegnazioni'!$C$16), "", 'Bozza Assegnazioni'!$C$16)</f>
        <v/>
      </c>
      <c r="P165" s="152"/>
      <c r="Q165" s="152"/>
      <c r="R165" s="152"/>
      <c r="S165" s="152"/>
      <c r="T165" s="126"/>
    </row>
    <row r="166" spans="1:20" ht="6" customHeight="1">
      <c r="A166" s="145"/>
      <c r="B166" s="146"/>
      <c r="C166" s="146"/>
      <c r="D166" s="146"/>
      <c r="E166" s="146"/>
      <c r="F166" s="146"/>
      <c r="G166" s="146"/>
      <c r="H166" s="146"/>
      <c r="I166" s="146"/>
      <c r="J166" s="146"/>
      <c r="K166" s="145"/>
      <c r="L166" s="146"/>
      <c r="M166" s="146"/>
      <c r="N166" s="146"/>
      <c r="O166" s="146"/>
      <c r="P166" s="146"/>
      <c r="Q166" s="146"/>
      <c r="R166" s="146"/>
      <c r="S166" s="146"/>
      <c r="T166" s="147"/>
    </row>
    <row r="167" spans="1:20" ht="21" customHeight="1">
      <c r="A167" s="145"/>
      <c r="B167" s="146"/>
      <c r="C167" s="146"/>
      <c r="D167" s="151">
        <f>'Bozza Assegnazioni'!$A$15</f>
        <v>0</v>
      </c>
      <c r="E167" s="152"/>
      <c r="F167" s="152"/>
      <c r="G167" s="152"/>
      <c r="H167" s="152"/>
      <c r="I167" s="152"/>
      <c r="J167" s="122"/>
      <c r="K167" s="145"/>
      <c r="L167" s="146"/>
      <c r="M167" s="146"/>
      <c r="N167" s="151">
        <f>'Bozza Assegnazioni'!$A$16</f>
        <v>0</v>
      </c>
      <c r="O167" s="152"/>
      <c r="P167" s="152"/>
      <c r="Q167" s="152"/>
      <c r="R167" s="152"/>
      <c r="S167" s="152"/>
      <c r="T167" s="126"/>
    </row>
    <row r="168" spans="1:20" ht="9" customHeight="1">
      <c r="A168" s="145"/>
      <c r="B168" s="146"/>
      <c r="C168" s="146"/>
      <c r="D168" s="146"/>
      <c r="E168" s="146"/>
      <c r="F168" s="146"/>
      <c r="G168" s="146"/>
      <c r="H168" s="146"/>
      <c r="I168" s="146"/>
      <c r="J168" s="146"/>
      <c r="K168" s="145"/>
      <c r="L168" s="146"/>
      <c r="M168" s="146"/>
      <c r="N168" s="146"/>
      <c r="O168" s="146"/>
      <c r="P168" s="146"/>
      <c r="Q168" s="146"/>
      <c r="R168" s="146"/>
      <c r="S168" s="146"/>
      <c r="T168" s="147"/>
    </row>
    <row r="169" spans="1:20" ht="18" customHeight="1">
      <c r="A169" s="145"/>
      <c r="B169" s="146"/>
      <c r="C169" s="146"/>
      <c r="D169" s="146"/>
      <c r="E169" s="146"/>
      <c r="F169" s="152">
        <f>'Bozza Assegnazioni'!$D$15</f>
        <v>0</v>
      </c>
      <c r="G169" s="152"/>
      <c r="H169" s="152"/>
      <c r="I169" s="152"/>
      <c r="J169" s="122"/>
      <c r="K169" s="145"/>
      <c r="L169" s="146"/>
      <c r="M169" s="146"/>
      <c r="N169" s="146"/>
      <c r="O169" s="146"/>
      <c r="P169" s="152">
        <f>'Bozza Assegnazioni'!$D$16</f>
        <v>0</v>
      </c>
      <c r="Q169" s="152"/>
      <c r="R169" s="152"/>
      <c r="S169" s="152"/>
      <c r="T169" s="126"/>
    </row>
    <row r="170" spans="1:20" ht="33" customHeight="1">
      <c r="A170" s="145"/>
      <c r="B170" s="146"/>
      <c r="C170" s="146"/>
      <c r="D170" s="146"/>
      <c r="E170" s="146"/>
      <c r="F170" s="146"/>
      <c r="G170" s="146"/>
      <c r="H170" s="146"/>
      <c r="I170" s="146"/>
      <c r="J170" s="146"/>
      <c r="K170" s="145"/>
      <c r="L170" s="146"/>
      <c r="M170" s="146"/>
      <c r="N170" s="146"/>
      <c r="O170" s="146"/>
      <c r="P170" s="146"/>
      <c r="Q170" s="146"/>
      <c r="R170" s="146"/>
      <c r="S170" s="146"/>
      <c r="T170" s="147"/>
    </row>
    <row r="171" spans="1:20" ht="9" customHeight="1">
      <c r="A171" s="145"/>
      <c r="B171" s="123" t="str">
        <f>IF('Bozza Assegnazioni'!$E$15="Lettura biblica","X","")</f>
        <v/>
      </c>
      <c r="C171" s="146"/>
      <c r="D171" s="146"/>
      <c r="E171" s="146"/>
      <c r="F171" s="146"/>
      <c r="G171" s="146"/>
      <c r="H171" s="123" t="str">
        <f>IF('Bozza Assegnazioni'!$E$15="Terza visita ulteriore","X","")</f>
        <v/>
      </c>
      <c r="I171" s="146"/>
      <c r="J171" s="146"/>
      <c r="K171" s="145"/>
      <c r="L171" s="123" t="str">
        <f>IF('Bozza Assegnazioni'!$E$16="Lettura biblica","X","")</f>
        <v/>
      </c>
      <c r="M171" s="146"/>
      <c r="N171" s="146"/>
      <c r="O171" s="146"/>
      <c r="P171" s="146"/>
      <c r="Q171" s="146"/>
      <c r="R171" s="123" t="str">
        <f>IF('Bozza Assegnazioni'!$E$16="Terza visita ulteriore","X","")</f>
        <v/>
      </c>
      <c r="S171" s="146"/>
      <c r="T171" s="147"/>
    </row>
    <row r="172" spans="1:20" ht="4" customHeight="1">
      <c r="A172" s="145"/>
      <c r="B172" s="123"/>
      <c r="C172" s="146"/>
      <c r="D172" s="146"/>
      <c r="E172" s="146"/>
      <c r="F172" s="146"/>
      <c r="G172" s="146"/>
      <c r="H172" s="123"/>
      <c r="I172" s="146"/>
      <c r="J172" s="146"/>
      <c r="K172" s="145"/>
      <c r="L172" s="123"/>
      <c r="M172" s="146"/>
      <c r="N172" s="146"/>
      <c r="O172" s="146"/>
      <c r="P172" s="146"/>
      <c r="Q172" s="146"/>
      <c r="R172" s="123"/>
      <c r="S172" s="146"/>
      <c r="T172" s="147"/>
    </row>
    <row r="173" spans="1:20" ht="8" customHeight="1">
      <c r="A173" s="145"/>
      <c r="B173" s="123" t="str">
        <f>IF('Bozza Assegnazioni'!$E$15="Primo contatto","X","")</f>
        <v/>
      </c>
      <c r="C173" s="146"/>
      <c r="D173" s="146"/>
      <c r="E173" s="146"/>
      <c r="F173" s="146"/>
      <c r="G173" s="146"/>
      <c r="H173" s="123" t="str">
        <f>IF('Bozza Assegnazioni'!$E$15="Studio biblico","X","")</f>
        <v/>
      </c>
      <c r="I173" s="146"/>
      <c r="J173" s="146"/>
      <c r="K173" s="145"/>
      <c r="L173" s="124" t="str">
        <f>IF('Bozza Assegnazioni'!$E$16="Primo contatto","X","")</f>
        <v/>
      </c>
      <c r="M173" s="146"/>
      <c r="N173" s="146"/>
      <c r="O173" s="146"/>
      <c r="P173" s="146"/>
      <c r="Q173" s="146"/>
      <c r="R173" s="123" t="str">
        <f>IF('Bozza Assegnazioni'!$E$16="Studio biblico","X","")</f>
        <v/>
      </c>
      <c r="S173" s="146"/>
      <c r="T173" s="147"/>
    </row>
    <row r="174" spans="1:20" ht="5" customHeight="1">
      <c r="A174" s="145"/>
      <c r="B174" s="123"/>
      <c r="C174" s="146"/>
      <c r="D174" s="146"/>
      <c r="E174" s="146"/>
      <c r="F174" s="146"/>
      <c r="G174" s="146"/>
      <c r="H174" s="123"/>
      <c r="I174" s="146"/>
      <c r="J174" s="146"/>
      <c r="K174" s="145"/>
      <c r="L174" s="123"/>
      <c r="M174" s="146"/>
      <c r="N174" s="146"/>
      <c r="O174" s="146"/>
      <c r="P174" s="146"/>
      <c r="Q174" s="146"/>
      <c r="R174" s="123"/>
      <c r="S174" s="146"/>
      <c r="T174" s="147"/>
    </row>
    <row r="175" spans="1:20" ht="9" customHeight="1">
      <c r="A175" s="145"/>
      <c r="B175" s="123" t="str">
        <f>IF('Bozza Assegnazioni'!$E$15="Prima visita ulteriore","X","")</f>
        <v/>
      </c>
      <c r="C175" s="146"/>
      <c r="D175" s="146"/>
      <c r="E175" s="146"/>
      <c r="F175" s="146"/>
      <c r="G175" s="146"/>
      <c r="H175" s="123" t="str">
        <f>IF('Bozza Assegnazioni'!$E$15="Discorso","X","")</f>
        <v/>
      </c>
      <c r="I175" s="146"/>
      <c r="J175" s="146"/>
      <c r="K175" s="145"/>
      <c r="L175" s="123" t="str">
        <f>IF('Bozza Assegnazioni'!$E$16="Prima visita ulteriore","X","")</f>
        <v/>
      </c>
      <c r="M175" s="146"/>
      <c r="N175" s="146"/>
      <c r="O175" s="146"/>
      <c r="P175" s="146"/>
      <c r="Q175" s="146"/>
      <c r="R175" s="123" t="str">
        <f>IF('Bozza Assegnazioni'!$E$16="Discorso","X","")</f>
        <v/>
      </c>
      <c r="S175" s="146"/>
      <c r="T175" s="147"/>
    </row>
    <row r="176" spans="1:20" ht="5" customHeight="1">
      <c r="A176" s="145"/>
      <c r="B176" s="123"/>
      <c r="C176" s="146"/>
      <c r="D176" s="146"/>
      <c r="E176" s="146"/>
      <c r="F176" s="146"/>
      <c r="G176" s="146"/>
      <c r="H176" s="123"/>
      <c r="I176" s="146"/>
      <c r="J176" s="146"/>
      <c r="K176" s="145"/>
      <c r="L176" s="123"/>
      <c r="M176" s="146"/>
      <c r="N176" s="146"/>
      <c r="O176" s="146"/>
      <c r="P176" s="146"/>
      <c r="Q176" s="146"/>
      <c r="R176" s="123"/>
      <c r="S176" s="146"/>
      <c r="T176" s="147"/>
    </row>
    <row r="177" spans="1:20" ht="10" customHeight="1">
      <c r="A177" s="145"/>
      <c r="B177" s="123" t="str">
        <f>IF('Bozza Assegnazioni'!$E$15="Seconda visita ulteriore","X","")</f>
        <v/>
      </c>
      <c r="C177" s="146"/>
      <c r="D177" s="146"/>
      <c r="E177" s="146"/>
      <c r="F177" s="146"/>
      <c r="G177" s="146"/>
      <c r="H177" s="123"/>
      <c r="I177" s="146"/>
      <c r="J177" s="146"/>
      <c r="K177" s="145"/>
      <c r="L177" s="123" t="str">
        <f>IF('Bozza Assegnazioni'!$E$16="Seconda visita ulteriore","X","")</f>
        <v/>
      </c>
      <c r="M177" s="146"/>
      <c r="N177" s="146"/>
      <c r="O177" s="146"/>
      <c r="P177" s="146"/>
      <c r="Q177" s="146"/>
      <c r="R177" s="123"/>
      <c r="S177" s="146"/>
      <c r="T177" s="147"/>
    </row>
    <row r="178" spans="1:20" ht="22" customHeight="1">
      <c r="A178" s="145"/>
      <c r="B178" s="146"/>
      <c r="C178" s="146"/>
      <c r="D178" s="146"/>
      <c r="E178" s="146"/>
      <c r="F178" s="146"/>
      <c r="G178" s="146"/>
      <c r="H178" s="146"/>
      <c r="I178" s="146"/>
      <c r="J178" s="146"/>
      <c r="K178" s="145"/>
      <c r="L178" s="146"/>
      <c r="M178" s="146"/>
      <c r="N178" s="146"/>
      <c r="O178" s="146"/>
      <c r="P178" s="146"/>
      <c r="Q178" s="146"/>
      <c r="R178" s="146"/>
      <c r="S178" s="146"/>
      <c r="T178" s="147"/>
    </row>
    <row r="179" spans="1:20" ht="8" customHeight="1">
      <c r="A179" s="145"/>
      <c r="B179" s="123" t="str">
        <f>IF('Bozza Assegnazioni'!$F$15=1,"X","")</f>
        <v/>
      </c>
      <c r="C179" s="146"/>
      <c r="D179" s="146"/>
      <c r="E179" s="146"/>
      <c r="F179" s="146"/>
      <c r="G179" s="146"/>
      <c r="H179" s="146"/>
      <c r="I179" s="146"/>
      <c r="J179" s="146"/>
      <c r="K179" s="145"/>
      <c r="L179" s="123" t="str">
        <f>IF('Bozza Assegnazioni'!$F$16=1,"X","")</f>
        <v/>
      </c>
      <c r="M179" s="146"/>
      <c r="N179" s="146"/>
      <c r="O179" s="146"/>
      <c r="P179" s="146"/>
      <c r="Q179" s="146"/>
      <c r="R179" s="146"/>
      <c r="S179" s="146"/>
      <c r="T179" s="147"/>
    </row>
    <row r="180" spans="1:20" ht="6" customHeight="1">
      <c r="A180" s="145"/>
      <c r="B180" s="123"/>
      <c r="C180" s="146"/>
      <c r="D180" s="146"/>
      <c r="E180" s="146"/>
      <c r="F180" s="146"/>
      <c r="G180" s="146"/>
      <c r="H180" s="146"/>
      <c r="I180" s="146"/>
      <c r="J180" s="146"/>
      <c r="K180" s="145"/>
      <c r="L180" s="123"/>
      <c r="M180" s="146"/>
      <c r="N180" s="146"/>
      <c r="O180" s="146"/>
      <c r="P180" s="146"/>
      <c r="Q180" s="146"/>
      <c r="R180" s="146"/>
      <c r="S180" s="146"/>
      <c r="T180" s="147"/>
    </row>
    <row r="181" spans="1:20" ht="8" customHeight="1">
      <c r="A181" s="145"/>
      <c r="B181" s="123" t="str">
        <f>IF('Bozza Assegnazioni'!$F$15=2,"X","")</f>
        <v/>
      </c>
      <c r="C181" s="146"/>
      <c r="D181" s="146"/>
      <c r="E181" s="146"/>
      <c r="F181" s="146"/>
      <c r="G181" s="146"/>
      <c r="H181" s="146"/>
      <c r="I181" s="146"/>
      <c r="J181" s="146"/>
      <c r="K181" s="145"/>
      <c r="L181" s="123" t="str">
        <f>IF('Bozza Assegnazioni'!$F$16=2,"X","")</f>
        <v/>
      </c>
      <c r="M181" s="146"/>
      <c r="N181" s="146"/>
      <c r="O181" s="146"/>
      <c r="P181" s="146"/>
      <c r="Q181" s="146"/>
      <c r="R181" s="146"/>
      <c r="S181" s="146"/>
      <c r="T181" s="147"/>
    </row>
    <row r="182" spans="1:20" ht="5" customHeight="1">
      <c r="A182" s="145"/>
      <c r="B182" s="123"/>
      <c r="C182" s="146"/>
      <c r="D182" s="146"/>
      <c r="E182" s="146"/>
      <c r="F182" s="146"/>
      <c r="G182" s="146"/>
      <c r="H182" s="146"/>
      <c r="I182" s="146"/>
      <c r="J182" s="146"/>
      <c r="K182" s="145"/>
      <c r="L182" s="123"/>
      <c r="M182" s="146"/>
      <c r="N182" s="146"/>
      <c r="O182" s="146"/>
      <c r="P182" s="146"/>
      <c r="Q182" s="146"/>
      <c r="R182" s="146"/>
      <c r="S182" s="146"/>
      <c r="T182" s="147"/>
    </row>
    <row r="183" spans="1:20" ht="9" customHeight="1">
      <c r="A183" s="145"/>
      <c r="B183" s="123" t="str">
        <f>IF('Bozza Assegnazioni'!$F$15=3,"X","")</f>
        <v/>
      </c>
      <c r="C183" s="146"/>
      <c r="D183" s="146"/>
      <c r="E183" s="146"/>
      <c r="F183" s="146"/>
      <c r="G183" s="146"/>
      <c r="H183" s="146"/>
      <c r="I183" s="146"/>
      <c r="J183" s="146"/>
      <c r="K183" s="145"/>
      <c r="L183" s="123" t="str">
        <f>IF('Bozza Assegnazioni'!$F$16=3,"X","")</f>
        <v/>
      </c>
      <c r="M183" s="146"/>
      <c r="N183" s="146"/>
      <c r="O183" s="146"/>
      <c r="P183" s="146"/>
      <c r="Q183" s="146"/>
      <c r="R183" s="146"/>
      <c r="S183" s="146"/>
      <c r="T183" s="147"/>
    </row>
    <row r="184" spans="1:20" ht="99" customHeight="1">
      <c r="A184" s="148"/>
      <c r="B184" s="149"/>
      <c r="C184" s="149"/>
      <c r="D184" s="149"/>
      <c r="E184" s="149"/>
      <c r="F184" s="149"/>
      <c r="G184" s="149"/>
      <c r="H184" s="149"/>
      <c r="I184" s="149"/>
      <c r="J184" s="149"/>
      <c r="K184" s="148"/>
      <c r="L184" s="149"/>
      <c r="M184" s="149"/>
      <c r="N184" s="149"/>
      <c r="O184" s="149"/>
      <c r="P184" s="149"/>
      <c r="Q184" s="149"/>
      <c r="R184" s="149"/>
      <c r="S184" s="149"/>
      <c r="T184" s="150"/>
    </row>
    <row r="185" spans="1:20" ht="48" customHeight="1">
      <c r="A185" s="145"/>
      <c r="B185" s="146"/>
      <c r="C185" s="146"/>
      <c r="D185" s="146"/>
      <c r="E185" s="146"/>
      <c r="F185" s="146"/>
      <c r="G185" s="146"/>
      <c r="H185" s="146"/>
      <c r="I185" s="146"/>
      <c r="J185" s="146"/>
      <c r="K185" s="145"/>
      <c r="L185" s="146"/>
      <c r="M185" s="146"/>
      <c r="N185" s="146"/>
      <c r="O185" s="146"/>
      <c r="P185" s="146"/>
      <c r="Q185" s="146"/>
      <c r="R185" s="146"/>
      <c r="S185" s="146"/>
      <c r="T185" s="126"/>
    </row>
    <row r="186" spans="1:20" ht="19" customHeight="1">
      <c r="A186" s="145"/>
      <c r="B186" s="146"/>
      <c r="C186" s="146"/>
      <c r="D186" s="146"/>
      <c r="E186" s="146"/>
      <c r="F186" s="146"/>
      <c r="G186" s="152">
        <f>'Bozza Assegnazioni'!$B$17</f>
        <v>0</v>
      </c>
      <c r="H186" s="152"/>
      <c r="I186" s="152"/>
      <c r="J186" s="122"/>
      <c r="K186" s="145"/>
      <c r="L186" s="146"/>
      <c r="M186" s="146"/>
      <c r="N186" s="146"/>
      <c r="O186" s="146"/>
      <c r="P186" s="146"/>
      <c r="Q186" s="152">
        <f>'Bozza Assegnazioni'!$B$18</f>
        <v>0</v>
      </c>
      <c r="R186" s="152"/>
      <c r="S186" s="152"/>
      <c r="T186" s="126"/>
    </row>
    <row r="187" spans="1:20" ht="7" customHeight="1">
      <c r="A187" s="145"/>
      <c r="B187" s="146"/>
      <c r="C187" s="146"/>
      <c r="D187" s="146"/>
      <c r="E187" s="146"/>
      <c r="F187" s="146"/>
      <c r="G187" s="146"/>
      <c r="H187" s="146"/>
      <c r="I187" s="146"/>
      <c r="J187" s="146"/>
      <c r="K187" s="145"/>
      <c r="L187" s="146"/>
      <c r="M187" s="146"/>
      <c r="N187" s="146"/>
      <c r="O187" s="146"/>
      <c r="P187" s="146"/>
      <c r="Q187" s="146"/>
      <c r="R187" s="146"/>
      <c r="S187" s="146"/>
      <c r="T187" s="147"/>
    </row>
    <row r="188" spans="1:20" ht="21" customHeight="1">
      <c r="A188" s="145"/>
      <c r="B188" s="146"/>
      <c r="C188" s="146"/>
      <c r="D188" s="146"/>
      <c r="E188" s="152" t="str">
        <f>IF(ISBLANK('Bozza Assegnazioni'!$C$17), "", 'Bozza Assegnazioni'!$C$17)</f>
        <v/>
      </c>
      <c r="F188" s="152"/>
      <c r="G188" s="152"/>
      <c r="H188" s="152"/>
      <c r="I188" s="152"/>
      <c r="J188" s="122"/>
      <c r="K188" s="145"/>
      <c r="L188" s="146"/>
      <c r="M188" s="146"/>
      <c r="N188" s="146"/>
      <c r="O188" s="152" t="str">
        <f>IF(ISBLANK('Bozza Assegnazioni'!$C$18), "", 'Bozza Assegnazioni'!$C$18)</f>
        <v/>
      </c>
      <c r="P188" s="152"/>
      <c r="Q188" s="152"/>
      <c r="R188" s="152"/>
      <c r="S188" s="152"/>
      <c r="T188" s="126"/>
    </row>
    <row r="189" spans="1:20" ht="6" customHeight="1">
      <c r="A189" s="145"/>
      <c r="B189" s="146"/>
      <c r="C189" s="146"/>
      <c r="D189" s="146"/>
      <c r="E189" s="146"/>
      <c r="F189" s="146"/>
      <c r="G189" s="146"/>
      <c r="H189" s="146"/>
      <c r="I189" s="146"/>
      <c r="J189" s="146"/>
      <c r="K189" s="145"/>
      <c r="L189" s="146"/>
      <c r="M189" s="146"/>
      <c r="N189" s="146"/>
      <c r="O189" s="146"/>
      <c r="P189" s="146"/>
      <c r="Q189" s="146"/>
      <c r="R189" s="146"/>
      <c r="S189" s="146"/>
      <c r="T189" s="147"/>
    </row>
    <row r="190" spans="1:20" ht="21" customHeight="1">
      <c r="A190" s="145"/>
      <c r="B190" s="146"/>
      <c r="C190" s="146"/>
      <c r="D190" s="151">
        <f>'Bozza Assegnazioni'!$A$17</f>
        <v>0</v>
      </c>
      <c r="E190" s="152"/>
      <c r="F190" s="152"/>
      <c r="G190" s="152"/>
      <c r="H190" s="152"/>
      <c r="I190" s="152"/>
      <c r="J190" s="122"/>
      <c r="K190" s="145"/>
      <c r="L190" s="146"/>
      <c r="M190" s="146"/>
      <c r="N190" s="151">
        <f>'Bozza Assegnazioni'!$A$18</f>
        <v>0</v>
      </c>
      <c r="O190" s="152"/>
      <c r="P190" s="152"/>
      <c r="Q190" s="152"/>
      <c r="R190" s="152"/>
      <c r="S190" s="152"/>
      <c r="T190" s="126"/>
    </row>
    <row r="191" spans="1:20" ht="9" customHeight="1">
      <c r="A191" s="145"/>
      <c r="B191" s="146"/>
      <c r="C191" s="146"/>
      <c r="D191" s="146"/>
      <c r="E191" s="146"/>
      <c r="F191" s="146"/>
      <c r="G191" s="146"/>
      <c r="H191" s="146"/>
      <c r="I191" s="146"/>
      <c r="J191" s="146"/>
      <c r="K191" s="145"/>
      <c r="L191" s="146"/>
      <c r="M191" s="146"/>
      <c r="N191" s="146"/>
      <c r="O191" s="146"/>
      <c r="P191" s="146"/>
      <c r="Q191" s="146"/>
      <c r="R191" s="146"/>
      <c r="S191" s="146"/>
      <c r="T191" s="147"/>
    </row>
    <row r="192" spans="1:20" ht="18" customHeight="1">
      <c r="A192" s="145"/>
      <c r="B192" s="146"/>
      <c r="C192" s="146"/>
      <c r="D192" s="146"/>
      <c r="E192" s="146"/>
      <c r="F192" s="152">
        <f>'Bozza Assegnazioni'!$D$17</f>
        <v>0</v>
      </c>
      <c r="G192" s="152"/>
      <c r="H192" s="152"/>
      <c r="I192" s="152"/>
      <c r="J192" s="122"/>
      <c r="K192" s="145"/>
      <c r="L192" s="146"/>
      <c r="M192" s="146"/>
      <c r="N192" s="146"/>
      <c r="O192" s="146"/>
      <c r="P192" s="152">
        <f>'Bozza Assegnazioni'!$D$18</f>
        <v>0</v>
      </c>
      <c r="Q192" s="152"/>
      <c r="R192" s="152"/>
      <c r="S192" s="152"/>
      <c r="T192" s="126"/>
    </row>
    <row r="193" spans="1:20" ht="33" customHeight="1">
      <c r="A193" s="145"/>
      <c r="B193" s="146"/>
      <c r="C193" s="146"/>
      <c r="D193" s="146"/>
      <c r="E193" s="146"/>
      <c r="F193" s="146"/>
      <c r="G193" s="146"/>
      <c r="H193" s="146"/>
      <c r="I193" s="146"/>
      <c r="J193" s="146"/>
      <c r="K193" s="145"/>
      <c r="L193" s="146"/>
      <c r="M193" s="146"/>
      <c r="N193" s="146"/>
      <c r="O193" s="146"/>
      <c r="P193" s="146"/>
      <c r="Q193" s="146"/>
      <c r="R193" s="146"/>
      <c r="S193" s="146"/>
      <c r="T193" s="147"/>
    </row>
    <row r="194" spans="1:20" ht="9" customHeight="1">
      <c r="A194" s="145"/>
      <c r="B194" s="123" t="str">
        <f>IF('Bozza Assegnazioni'!$E$17="Lettura biblica","X","")</f>
        <v/>
      </c>
      <c r="C194" s="146"/>
      <c r="D194" s="146"/>
      <c r="E194" s="146"/>
      <c r="F194" s="146"/>
      <c r="G194" s="146"/>
      <c r="H194" s="123" t="str">
        <f>IF('Bozza Assegnazioni'!$E$17="Terza visita ulteriore","X","")</f>
        <v/>
      </c>
      <c r="I194" s="146"/>
      <c r="J194" s="146"/>
      <c r="K194" s="145"/>
      <c r="L194" s="123" t="str">
        <f>IF('Bozza Assegnazioni'!$E$18="Lettura biblica","X","")</f>
        <v/>
      </c>
      <c r="M194" s="146"/>
      <c r="N194" s="146"/>
      <c r="O194" s="146"/>
      <c r="P194" s="146"/>
      <c r="Q194" s="146"/>
      <c r="R194" s="123" t="str">
        <f>IF('Bozza Assegnazioni'!$E$18="Terza visita ulteriore","X","")</f>
        <v/>
      </c>
      <c r="S194" s="146"/>
      <c r="T194" s="147"/>
    </row>
    <row r="195" spans="1:20" ht="4" customHeight="1">
      <c r="A195" s="145"/>
      <c r="B195" s="123"/>
      <c r="C195" s="146"/>
      <c r="D195" s="146"/>
      <c r="E195" s="146"/>
      <c r="F195" s="146"/>
      <c r="G195" s="146"/>
      <c r="H195" s="123"/>
      <c r="I195" s="146"/>
      <c r="J195" s="146"/>
      <c r="K195" s="145"/>
      <c r="L195" s="123"/>
      <c r="M195" s="146"/>
      <c r="N195" s="146"/>
      <c r="O195" s="146"/>
      <c r="P195" s="146"/>
      <c r="Q195" s="146"/>
      <c r="R195" s="123"/>
      <c r="S195" s="146"/>
      <c r="T195" s="147"/>
    </row>
    <row r="196" spans="1:20" ht="8" customHeight="1">
      <c r="A196" s="145"/>
      <c r="B196" s="123" t="str">
        <f>IF('Bozza Assegnazioni'!$E$17="Primo contatto","X","")</f>
        <v/>
      </c>
      <c r="C196" s="146"/>
      <c r="D196" s="146"/>
      <c r="E196" s="146"/>
      <c r="F196" s="146"/>
      <c r="G196" s="146"/>
      <c r="H196" s="123" t="str">
        <f>IF('Bozza Assegnazioni'!$E$17="Studio biblico","X","")</f>
        <v/>
      </c>
      <c r="I196" s="146"/>
      <c r="J196" s="146"/>
      <c r="K196" s="145"/>
      <c r="L196" s="124" t="str">
        <f>IF('Bozza Assegnazioni'!$E$18="Primo contatto","X","")</f>
        <v/>
      </c>
      <c r="M196" s="146"/>
      <c r="N196" s="146"/>
      <c r="O196" s="146"/>
      <c r="P196" s="146"/>
      <c r="Q196" s="146"/>
      <c r="R196" s="123" t="str">
        <f>IF('Bozza Assegnazioni'!$E$18="Studio biblico","X","")</f>
        <v/>
      </c>
      <c r="S196" s="146"/>
      <c r="T196" s="147"/>
    </row>
    <row r="197" spans="1:20" ht="5" customHeight="1">
      <c r="A197" s="145"/>
      <c r="B197" s="123"/>
      <c r="C197" s="146"/>
      <c r="D197" s="146"/>
      <c r="E197" s="146"/>
      <c r="F197" s="146"/>
      <c r="G197" s="146"/>
      <c r="H197" s="123"/>
      <c r="I197" s="146"/>
      <c r="J197" s="146"/>
      <c r="K197" s="145"/>
      <c r="L197" s="123"/>
      <c r="M197" s="146"/>
      <c r="N197" s="146"/>
      <c r="O197" s="146"/>
      <c r="P197" s="146"/>
      <c r="Q197" s="146"/>
      <c r="R197" s="123"/>
      <c r="S197" s="146"/>
      <c r="T197" s="147"/>
    </row>
    <row r="198" spans="1:20" ht="9" customHeight="1">
      <c r="A198" s="145"/>
      <c r="B198" s="123" t="str">
        <f>IF('Bozza Assegnazioni'!$E$17="Prima visita ulteriore","X","")</f>
        <v/>
      </c>
      <c r="C198" s="146"/>
      <c r="D198" s="146"/>
      <c r="E198" s="146"/>
      <c r="F198" s="146"/>
      <c r="G198" s="146"/>
      <c r="H198" s="123" t="str">
        <f>IF('Bozza Assegnazioni'!$E$17="Discorso","X","")</f>
        <v/>
      </c>
      <c r="I198" s="146"/>
      <c r="J198" s="146"/>
      <c r="K198" s="145"/>
      <c r="L198" s="123" t="str">
        <f>IF('Bozza Assegnazioni'!$E$18="Prima visita ulteriore","X","")</f>
        <v/>
      </c>
      <c r="M198" s="146"/>
      <c r="N198" s="146"/>
      <c r="O198" s="146"/>
      <c r="P198" s="146"/>
      <c r="Q198" s="146"/>
      <c r="R198" s="123" t="str">
        <f>IF('Bozza Assegnazioni'!$E$18="Discorso","X","")</f>
        <v/>
      </c>
      <c r="S198" s="146"/>
      <c r="T198" s="147"/>
    </row>
    <row r="199" spans="1:20" ht="5" customHeight="1">
      <c r="A199" s="145"/>
      <c r="B199" s="123"/>
      <c r="C199" s="146"/>
      <c r="D199" s="146"/>
      <c r="E199" s="146"/>
      <c r="F199" s="146"/>
      <c r="G199" s="146"/>
      <c r="H199" s="123"/>
      <c r="I199" s="146"/>
      <c r="J199" s="146"/>
      <c r="K199" s="145"/>
      <c r="L199" s="123"/>
      <c r="M199" s="146"/>
      <c r="N199" s="146"/>
      <c r="O199" s="146"/>
      <c r="P199" s="146"/>
      <c r="Q199" s="146"/>
      <c r="R199" s="123"/>
      <c r="S199" s="146"/>
      <c r="T199" s="147"/>
    </row>
    <row r="200" spans="1:20" ht="10" customHeight="1">
      <c r="A200" s="145"/>
      <c r="B200" s="123" t="str">
        <f>IF('Bozza Assegnazioni'!$E$17="Seconda visita ulteriore","X","")</f>
        <v/>
      </c>
      <c r="C200" s="146"/>
      <c r="D200" s="146"/>
      <c r="E200" s="146"/>
      <c r="F200" s="146"/>
      <c r="G200" s="146"/>
      <c r="H200" s="123"/>
      <c r="I200" s="146"/>
      <c r="J200" s="146"/>
      <c r="K200" s="145"/>
      <c r="L200" s="123" t="str">
        <f>IF('Bozza Assegnazioni'!$E$18="Seconda visita ulteriore","X","")</f>
        <v/>
      </c>
      <c r="M200" s="146"/>
      <c r="N200" s="146"/>
      <c r="O200" s="146"/>
      <c r="P200" s="146"/>
      <c r="Q200" s="146"/>
      <c r="R200" s="123"/>
      <c r="S200" s="146"/>
      <c r="T200" s="147"/>
    </row>
    <row r="201" spans="1:20" ht="22" customHeight="1">
      <c r="A201" s="145"/>
      <c r="B201" s="146"/>
      <c r="C201" s="146"/>
      <c r="D201" s="146"/>
      <c r="E201" s="146"/>
      <c r="F201" s="146"/>
      <c r="G201" s="146"/>
      <c r="H201" s="146"/>
      <c r="I201" s="146"/>
      <c r="J201" s="146"/>
      <c r="K201" s="145"/>
      <c r="L201" s="146"/>
      <c r="M201" s="146"/>
      <c r="N201" s="146"/>
      <c r="O201" s="146"/>
      <c r="P201" s="146"/>
      <c r="Q201" s="146"/>
      <c r="R201" s="146"/>
      <c r="S201" s="146"/>
      <c r="T201" s="147"/>
    </row>
    <row r="202" spans="1:20" ht="8" customHeight="1">
      <c r="A202" s="145"/>
      <c r="B202" s="123" t="str">
        <f>IF('Bozza Assegnazioni'!$F$17=1,"X","")</f>
        <v/>
      </c>
      <c r="C202" s="146"/>
      <c r="D202" s="146"/>
      <c r="E202" s="146"/>
      <c r="F202" s="146"/>
      <c r="G202" s="146"/>
      <c r="H202" s="146"/>
      <c r="I202" s="146"/>
      <c r="J202" s="146"/>
      <c r="K202" s="145"/>
      <c r="L202" s="123" t="str">
        <f>IF('Bozza Assegnazioni'!$F$18=1,"X","")</f>
        <v/>
      </c>
      <c r="M202" s="146"/>
      <c r="N202" s="146"/>
      <c r="O202" s="146"/>
      <c r="P202" s="146"/>
      <c r="Q202" s="146"/>
      <c r="R202" s="146"/>
      <c r="S202" s="146"/>
      <c r="T202" s="147"/>
    </row>
    <row r="203" spans="1:20" ht="6" customHeight="1">
      <c r="A203" s="145"/>
      <c r="B203" s="123"/>
      <c r="C203" s="146"/>
      <c r="D203" s="146"/>
      <c r="E203" s="146"/>
      <c r="F203" s="146"/>
      <c r="G203" s="146"/>
      <c r="H203" s="146"/>
      <c r="I203" s="146"/>
      <c r="J203" s="146"/>
      <c r="K203" s="145"/>
      <c r="L203" s="123"/>
      <c r="M203" s="146"/>
      <c r="N203" s="146"/>
      <c r="O203" s="146"/>
      <c r="P203" s="146"/>
      <c r="Q203" s="146"/>
      <c r="R203" s="146"/>
      <c r="S203" s="146"/>
      <c r="T203" s="147"/>
    </row>
    <row r="204" spans="1:20" ht="8" customHeight="1">
      <c r="A204" s="145"/>
      <c r="B204" s="123" t="str">
        <f>IF('Bozza Assegnazioni'!$F$17=2,"X","")</f>
        <v/>
      </c>
      <c r="C204" s="146"/>
      <c r="D204" s="146"/>
      <c r="E204" s="146"/>
      <c r="F204" s="146"/>
      <c r="G204" s="146"/>
      <c r="H204" s="146"/>
      <c r="I204" s="146"/>
      <c r="J204" s="146"/>
      <c r="K204" s="145"/>
      <c r="L204" s="123" t="str">
        <f>IF('Bozza Assegnazioni'!$F$18=2,"X","")</f>
        <v/>
      </c>
      <c r="M204" s="146"/>
      <c r="N204" s="146"/>
      <c r="O204" s="146"/>
      <c r="P204" s="146"/>
      <c r="Q204" s="146"/>
      <c r="R204" s="146"/>
      <c r="S204" s="146"/>
      <c r="T204" s="147"/>
    </row>
    <row r="205" spans="1:20" ht="5" customHeight="1">
      <c r="A205" s="145"/>
      <c r="B205" s="123"/>
      <c r="C205" s="146"/>
      <c r="D205" s="146"/>
      <c r="E205" s="146"/>
      <c r="F205" s="146"/>
      <c r="G205" s="146"/>
      <c r="H205" s="146"/>
      <c r="I205" s="146"/>
      <c r="J205" s="146"/>
      <c r="K205" s="145"/>
      <c r="L205" s="123"/>
      <c r="M205" s="146"/>
      <c r="N205" s="146"/>
      <c r="O205" s="146"/>
      <c r="P205" s="146"/>
      <c r="Q205" s="146"/>
      <c r="R205" s="146"/>
      <c r="S205" s="146"/>
      <c r="T205" s="147"/>
    </row>
    <row r="206" spans="1:20" ht="9" customHeight="1">
      <c r="A206" s="145"/>
      <c r="B206" s="123" t="str">
        <f>IF('Bozza Assegnazioni'!$F$17=3,"X","")</f>
        <v/>
      </c>
      <c r="C206" s="146"/>
      <c r="D206" s="146"/>
      <c r="E206" s="146"/>
      <c r="F206" s="146"/>
      <c r="G206" s="146"/>
      <c r="H206" s="146"/>
      <c r="I206" s="146"/>
      <c r="J206" s="146"/>
      <c r="K206" s="145"/>
      <c r="L206" s="123" t="str">
        <f>IF('Bozza Assegnazioni'!$F$18=3,"X","")</f>
        <v/>
      </c>
      <c r="M206" s="146"/>
      <c r="N206" s="146"/>
      <c r="O206" s="146"/>
      <c r="P206" s="146"/>
      <c r="Q206" s="146"/>
      <c r="R206" s="146"/>
      <c r="S206" s="146"/>
      <c r="T206" s="147"/>
    </row>
    <row r="207" spans="1:20" ht="99" customHeight="1">
      <c r="A207" s="148"/>
      <c r="B207" s="149"/>
      <c r="C207" s="149"/>
      <c r="D207" s="149"/>
      <c r="E207" s="149"/>
      <c r="F207" s="149"/>
      <c r="G207" s="149"/>
      <c r="H207" s="149"/>
      <c r="I207" s="149"/>
      <c r="J207" s="149"/>
      <c r="K207" s="148"/>
      <c r="L207" s="149"/>
      <c r="M207" s="149"/>
      <c r="N207" s="149"/>
      <c r="O207" s="149"/>
      <c r="P207" s="149"/>
      <c r="Q207" s="149"/>
      <c r="R207" s="149"/>
      <c r="S207" s="149"/>
      <c r="T207" s="150"/>
    </row>
    <row r="208" spans="1:20" ht="48" customHeight="1">
      <c r="A208" s="145"/>
      <c r="B208" s="146"/>
      <c r="C208" s="146"/>
      <c r="D208" s="146"/>
      <c r="E208" s="146"/>
      <c r="F208" s="146"/>
      <c r="G208" s="146"/>
      <c r="H208" s="146"/>
      <c r="I208" s="146"/>
      <c r="J208" s="146"/>
      <c r="K208" s="145"/>
      <c r="L208" s="146"/>
      <c r="M208" s="146"/>
      <c r="N208" s="146"/>
      <c r="O208" s="146"/>
      <c r="P208" s="146"/>
      <c r="Q208" s="146"/>
      <c r="R208" s="146"/>
      <c r="S208" s="146"/>
      <c r="T208" s="126"/>
    </row>
    <row r="209" spans="1:20" ht="19" customHeight="1">
      <c r="A209" s="145"/>
      <c r="B209" s="146"/>
      <c r="C209" s="146"/>
      <c r="D209" s="146"/>
      <c r="E209" s="146"/>
      <c r="F209" s="146"/>
      <c r="G209" s="152">
        <f>'Bozza Assegnazioni'!$B$19</f>
        <v>0</v>
      </c>
      <c r="H209" s="152"/>
      <c r="I209" s="152"/>
      <c r="J209" s="122"/>
      <c r="K209" s="145"/>
      <c r="L209" s="146"/>
      <c r="M209" s="146"/>
      <c r="N209" s="146"/>
      <c r="O209" s="146"/>
      <c r="P209" s="146"/>
      <c r="Q209" s="152">
        <f>'Bozza Assegnazioni'!$B$20</f>
        <v>0</v>
      </c>
      <c r="R209" s="152"/>
      <c r="S209" s="152"/>
      <c r="T209" s="126"/>
    </row>
    <row r="210" spans="1:20" ht="7" customHeight="1">
      <c r="A210" s="145"/>
      <c r="B210" s="146"/>
      <c r="C210" s="146"/>
      <c r="D210" s="146"/>
      <c r="E210" s="146"/>
      <c r="F210" s="146"/>
      <c r="G210" s="146"/>
      <c r="H210" s="146"/>
      <c r="I210" s="146"/>
      <c r="J210" s="146"/>
      <c r="K210" s="145"/>
      <c r="L210" s="146"/>
      <c r="M210" s="146"/>
      <c r="N210" s="146"/>
      <c r="O210" s="146"/>
      <c r="P210" s="146"/>
      <c r="Q210" s="146"/>
      <c r="R210" s="146"/>
      <c r="S210" s="146"/>
      <c r="T210" s="147"/>
    </row>
    <row r="211" spans="1:20" ht="21" customHeight="1">
      <c r="A211" s="145"/>
      <c r="B211" s="146"/>
      <c r="C211" s="146"/>
      <c r="D211" s="146"/>
      <c r="E211" s="152" t="str">
        <f>IF(ISBLANK('Bozza Assegnazioni'!$C$19), "", 'Bozza Assegnazioni'!$C$19)</f>
        <v/>
      </c>
      <c r="F211" s="152"/>
      <c r="G211" s="152"/>
      <c r="H211" s="152"/>
      <c r="I211" s="152"/>
      <c r="J211" s="122"/>
      <c r="K211" s="145"/>
      <c r="L211" s="146"/>
      <c r="M211" s="146"/>
      <c r="N211" s="146"/>
      <c r="O211" s="152" t="str">
        <f>IF(ISBLANK('Bozza Assegnazioni'!$C$20), "", 'Bozza Assegnazioni'!$C$20)</f>
        <v/>
      </c>
      <c r="P211" s="152"/>
      <c r="Q211" s="152"/>
      <c r="R211" s="152"/>
      <c r="S211" s="152"/>
      <c r="T211" s="126"/>
    </row>
    <row r="212" spans="1:20" ht="6" customHeight="1">
      <c r="A212" s="145"/>
      <c r="B212" s="146"/>
      <c r="C212" s="146"/>
      <c r="D212" s="146"/>
      <c r="E212" s="146"/>
      <c r="F212" s="146"/>
      <c r="G212" s="146"/>
      <c r="H212" s="146"/>
      <c r="I212" s="146"/>
      <c r="J212" s="146"/>
      <c r="K212" s="145"/>
      <c r="L212" s="146"/>
      <c r="M212" s="146"/>
      <c r="N212" s="146"/>
      <c r="O212" s="146"/>
      <c r="P212" s="146"/>
      <c r="Q212" s="146"/>
      <c r="R212" s="146"/>
      <c r="S212" s="146"/>
      <c r="T212" s="147"/>
    </row>
    <row r="213" spans="1:20" ht="21" customHeight="1">
      <c r="A213" s="145"/>
      <c r="B213" s="146"/>
      <c r="C213" s="146"/>
      <c r="D213" s="151">
        <f>'Bozza Assegnazioni'!$A$19</f>
        <v>0</v>
      </c>
      <c r="E213" s="152"/>
      <c r="F213" s="152"/>
      <c r="G213" s="152"/>
      <c r="H213" s="152"/>
      <c r="I213" s="152"/>
      <c r="J213" s="122"/>
      <c r="K213" s="145"/>
      <c r="L213" s="146"/>
      <c r="M213" s="146"/>
      <c r="N213" s="151">
        <f>'Bozza Assegnazioni'!$A$20</f>
        <v>0</v>
      </c>
      <c r="O213" s="152"/>
      <c r="P213" s="152"/>
      <c r="Q213" s="152"/>
      <c r="R213" s="152"/>
      <c r="S213" s="152"/>
      <c r="T213" s="126"/>
    </row>
    <row r="214" spans="1:20" ht="9" customHeight="1">
      <c r="A214" s="145"/>
      <c r="B214" s="146"/>
      <c r="C214" s="146"/>
      <c r="D214" s="146"/>
      <c r="E214" s="146"/>
      <c r="F214" s="146"/>
      <c r="G214" s="146"/>
      <c r="H214" s="146"/>
      <c r="I214" s="146"/>
      <c r="J214" s="146"/>
      <c r="K214" s="145"/>
      <c r="L214" s="146"/>
      <c r="M214" s="146"/>
      <c r="N214" s="146"/>
      <c r="O214" s="146"/>
      <c r="P214" s="146"/>
      <c r="Q214" s="146"/>
      <c r="R214" s="146"/>
      <c r="S214" s="146"/>
      <c r="T214" s="147"/>
    </row>
    <row r="215" spans="1:20" ht="18" customHeight="1">
      <c r="A215" s="145"/>
      <c r="B215" s="146"/>
      <c r="C215" s="146"/>
      <c r="D215" s="146"/>
      <c r="E215" s="146"/>
      <c r="F215" s="152">
        <f>'Bozza Assegnazioni'!$D$19</f>
        <v>0</v>
      </c>
      <c r="G215" s="152"/>
      <c r="H215" s="152"/>
      <c r="I215" s="152"/>
      <c r="J215" s="122"/>
      <c r="K215" s="145"/>
      <c r="L215" s="146"/>
      <c r="M215" s="146"/>
      <c r="N215" s="146"/>
      <c r="O215" s="146"/>
      <c r="P215" s="152">
        <f>'Bozza Assegnazioni'!$D$20</f>
        <v>0</v>
      </c>
      <c r="Q215" s="152"/>
      <c r="R215" s="152"/>
      <c r="S215" s="152"/>
      <c r="T215" s="126"/>
    </row>
    <row r="216" spans="1:20" ht="33" customHeight="1">
      <c r="A216" s="145"/>
      <c r="B216" s="146"/>
      <c r="C216" s="146"/>
      <c r="D216" s="146"/>
      <c r="E216" s="146"/>
      <c r="F216" s="146"/>
      <c r="G216" s="146"/>
      <c r="H216" s="146"/>
      <c r="I216" s="146"/>
      <c r="J216" s="146"/>
      <c r="K216" s="145"/>
      <c r="L216" s="146"/>
      <c r="M216" s="146"/>
      <c r="N216" s="146"/>
      <c r="O216" s="146"/>
      <c r="P216" s="146"/>
      <c r="Q216" s="146"/>
      <c r="R216" s="146"/>
      <c r="S216" s="146"/>
      <c r="T216" s="147"/>
    </row>
    <row r="217" spans="1:20" ht="9" customHeight="1">
      <c r="A217" s="145"/>
      <c r="B217" s="123" t="str">
        <f>IF('Bozza Assegnazioni'!$E$19="Lettura biblica","X","")</f>
        <v/>
      </c>
      <c r="C217" s="146"/>
      <c r="D217" s="146"/>
      <c r="E217" s="146"/>
      <c r="F217" s="146"/>
      <c r="G217" s="146"/>
      <c r="H217" s="123" t="str">
        <f>IF('Bozza Assegnazioni'!$E$19="Terza visita ulteriore","X","")</f>
        <v/>
      </c>
      <c r="I217" s="146"/>
      <c r="J217" s="146"/>
      <c r="K217" s="145"/>
      <c r="L217" s="123" t="str">
        <f>IF('Bozza Assegnazioni'!$E$20="Lettura biblica","X","")</f>
        <v/>
      </c>
      <c r="M217" s="146"/>
      <c r="N217" s="146"/>
      <c r="O217" s="146"/>
      <c r="P217" s="146"/>
      <c r="Q217" s="146"/>
      <c r="R217" s="123" t="str">
        <f>IF('Bozza Assegnazioni'!$E$20="Terza visita ulteriore","X","")</f>
        <v/>
      </c>
      <c r="S217" s="146"/>
      <c r="T217" s="147"/>
    </row>
    <row r="218" spans="1:20" ht="4" customHeight="1">
      <c r="A218" s="145"/>
      <c r="B218" s="123"/>
      <c r="C218" s="146"/>
      <c r="D218" s="146"/>
      <c r="E218" s="146"/>
      <c r="F218" s="146"/>
      <c r="G218" s="146"/>
      <c r="H218" s="123"/>
      <c r="I218" s="146"/>
      <c r="J218" s="146"/>
      <c r="K218" s="145"/>
      <c r="L218" s="123"/>
      <c r="M218" s="146"/>
      <c r="N218" s="146"/>
      <c r="O218" s="146"/>
      <c r="P218" s="146"/>
      <c r="Q218" s="146"/>
      <c r="R218" s="123"/>
      <c r="S218" s="146"/>
      <c r="T218" s="147"/>
    </row>
    <row r="219" spans="1:20" ht="8" customHeight="1">
      <c r="A219" s="145"/>
      <c r="B219" s="123" t="str">
        <f>IF('Bozza Assegnazioni'!$E$19="Primo contatto","X","")</f>
        <v/>
      </c>
      <c r="C219" s="146"/>
      <c r="D219" s="146"/>
      <c r="E219" s="146"/>
      <c r="F219" s="146"/>
      <c r="G219" s="146"/>
      <c r="H219" s="123" t="str">
        <f>IF('Bozza Assegnazioni'!$E$19="Studio biblico","X","")</f>
        <v/>
      </c>
      <c r="I219" s="146"/>
      <c r="J219" s="146"/>
      <c r="K219" s="145"/>
      <c r="L219" s="124" t="str">
        <f>IF('Bozza Assegnazioni'!$E$20="Primo contatto","X","")</f>
        <v/>
      </c>
      <c r="M219" s="146"/>
      <c r="N219" s="146"/>
      <c r="O219" s="146"/>
      <c r="P219" s="146"/>
      <c r="Q219" s="146"/>
      <c r="R219" s="123" t="str">
        <f>IF('Bozza Assegnazioni'!$E$20="Studio biblico","X","")</f>
        <v/>
      </c>
      <c r="S219" s="146"/>
      <c r="T219" s="147"/>
    </row>
    <row r="220" spans="1:20" ht="5" customHeight="1">
      <c r="A220" s="145"/>
      <c r="B220" s="123"/>
      <c r="C220" s="146"/>
      <c r="D220" s="146"/>
      <c r="E220" s="146"/>
      <c r="F220" s="146"/>
      <c r="G220" s="146"/>
      <c r="H220" s="123"/>
      <c r="I220" s="146"/>
      <c r="J220" s="146"/>
      <c r="K220" s="145"/>
      <c r="L220" s="123"/>
      <c r="M220" s="146"/>
      <c r="N220" s="146"/>
      <c r="O220" s="146"/>
      <c r="P220" s="146"/>
      <c r="Q220" s="146"/>
      <c r="R220" s="123"/>
      <c r="S220" s="146"/>
      <c r="T220" s="147"/>
    </row>
    <row r="221" spans="1:20" ht="9" customHeight="1">
      <c r="A221" s="145"/>
      <c r="B221" s="123" t="str">
        <f>IF('Bozza Assegnazioni'!$E$19="Prima visita ulteriore","X","")</f>
        <v/>
      </c>
      <c r="C221" s="146"/>
      <c r="D221" s="146"/>
      <c r="E221" s="146"/>
      <c r="F221" s="146"/>
      <c r="G221" s="146"/>
      <c r="H221" s="123" t="str">
        <f>IF('Bozza Assegnazioni'!$E$19="Discorso","X","")</f>
        <v/>
      </c>
      <c r="I221" s="146"/>
      <c r="J221" s="146"/>
      <c r="K221" s="145"/>
      <c r="L221" s="123" t="str">
        <f>IF('Bozza Assegnazioni'!$E$20="Prima visita ulteriore","X","")</f>
        <v/>
      </c>
      <c r="M221" s="146"/>
      <c r="N221" s="146"/>
      <c r="O221" s="146"/>
      <c r="P221" s="146"/>
      <c r="Q221" s="146"/>
      <c r="R221" s="123" t="str">
        <f>IF('Bozza Assegnazioni'!$E$20="Discorso","X","")</f>
        <v/>
      </c>
      <c r="S221" s="146"/>
      <c r="T221" s="147"/>
    </row>
    <row r="222" spans="1:20" ht="5" customHeight="1">
      <c r="A222" s="145"/>
      <c r="B222" s="123"/>
      <c r="C222" s="146"/>
      <c r="D222" s="146"/>
      <c r="E222" s="146"/>
      <c r="F222" s="146"/>
      <c r="G222" s="146"/>
      <c r="H222" s="123"/>
      <c r="I222" s="146"/>
      <c r="J222" s="146"/>
      <c r="K222" s="145"/>
      <c r="L222" s="123"/>
      <c r="M222" s="146"/>
      <c r="N222" s="146"/>
      <c r="O222" s="146"/>
      <c r="P222" s="146"/>
      <c r="Q222" s="146"/>
      <c r="R222" s="123"/>
      <c r="S222" s="146"/>
      <c r="T222" s="147"/>
    </row>
    <row r="223" spans="1:20" ht="10" customHeight="1">
      <c r="A223" s="145"/>
      <c r="B223" s="123" t="str">
        <f>IF('Bozza Assegnazioni'!$E$19="Seconda visita ulteriore","X","")</f>
        <v/>
      </c>
      <c r="C223" s="146"/>
      <c r="D223" s="146"/>
      <c r="E223" s="146"/>
      <c r="F223" s="146"/>
      <c r="G223" s="146"/>
      <c r="H223" s="123"/>
      <c r="I223" s="146"/>
      <c r="J223" s="146"/>
      <c r="K223" s="145"/>
      <c r="L223" s="123" t="str">
        <f>IF('Bozza Assegnazioni'!$E$20="Seconda visita ulteriore","X","")</f>
        <v/>
      </c>
      <c r="M223" s="146"/>
      <c r="N223" s="146"/>
      <c r="O223" s="146"/>
      <c r="P223" s="146"/>
      <c r="Q223" s="146"/>
      <c r="R223" s="123"/>
      <c r="S223" s="146"/>
      <c r="T223" s="147"/>
    </row>
    <row r="224" spans="1:20" ht="22" customHeight="1">
      <c r="A224" s="145"/>
      <c r="B224" s="146"/>
      <c r="C224" s="146"/>
      <c r="D224" s="146"/>
      <c r="E224" s="146"/>
      <c r="F224" s="146"/>
      <c r="G224" s="146"/>
      <c r="H224" s="146"/>
      <c r="I224" s="146"/>
      <c r="J224" s="146"/>
      <c r="K224" s="145"/>
      <c r="L224" s="146"/>
      <c r="M224" s="146"/>
      <c r="N224" s="146"/>
      <c r="O224" s="146"/>
      <c r="P224" s="146"/>
      <c r="Q224" s="146"/>
      <c r="R224" s="146"/>
      <c r="S224" s="146"/>
      <c r="T224" s="147"/>
    </row>
    <row r="225" spans="1:20" ht="8" customHeight="1">
      <c r="A225" s="145"/>
      <c r="B225" s="123" t="str">
        <f>IF('Bozza Assegnazioni'!$F$19=1,"X","")</f>
        <v/>
      </c>
      <c r="C225" s="146"/>
      <c r="D225" s="146"/>
      <c r="E225" s="146"/>
      <c r="F225" s="146"/>
      <c r="G225" s="146"/>
      <c r="H225" s="146"/>
      <c r="I225" s="146"/>
      <c r="J225" s="146"/>
      <c r="K225" s="145"/>
      <c r="L225" s="123" t="str">
        <f>IF('Bozza Assegnazioni'!$F$20=1,"X","")</f>
        <v/>
      </c>
      <c r="M225" s="146"/>
      <c r="N225" s="146"/>
      <c r="O225" s="146"/>
      <c r="P225" s="146"/>
      <c r="Q225" s="146"/>
      <c r="R225" s="146"/>
      <c r="S225" s="146"/>
      <c r="T225" s="147"/>
    </row>
    <row r="226" spans="1:20" ht="6" customHeight="1">
      <c r="A226" s="145"/>
      <c r="B226" s="123"/>
      <c r="C226" s="146"/>
      <c r="D226" s="146"/>
      <c r="E226" s="146"/>
      <c r="F226" s="146"/>
      <c r="G226" s="146"/>
      <c r="H226" s="146"/>
      <c r="I226" s="146"/>
      <c r="J226" s="146"/>
      <c r="K226" s="145"/>
      <c r="L226" s="123"/>
      <c r="M226" s="146"/>
      <c r="N226" s="146"/>
      <c r="O226" s="146"/>
      <c r="P226" s="146"/>
      <c r="Q226" s="146"/>
      <c r="R226" s="146"/>
      <c r="S226" s="146"/>
      <c r="T226" s="147"/>
    </row>
    <row r="227" spans="1:20" ht="8" customHeight="1">
      <c r="A227" s="145"/>
      <c r="B227" s="123" t="str">
        <f>IF('Bozza Assegnazioni'!$F$19=2,"X","")</f>
        <v/>
      </c>
      <c r="C227" s="146"/>
      <c r="D227" s="146"/>
      <c r="E227" s="146"/>
      <c r="F227" s="146"/>
      <c r="G227" s="146"/>
      <c r="H227" s="146"/>
      <c r="I227" s="146"/>
      <c r="J227" s="146"/>
      <c r="K227" s="145"/>
      <c r="L227" s="123" t="str">
        <f>IF('Bozza Assegnazioni'!$F$20=2,"X","")</f>
        <v/>
      </c>
      <c r="M227" s="146"/>
      <c r="N227" s="146"/>
      <c r="O227" s="146"/>
      <c r="P227" s="146"/>
      <c r="Q227" s="146"/>
      <c r="R227" s="146"/>
      <c r="S227" s="146"/>
      <c r="T227" s="147"/>
    </row>
    <row r="228" spans="1:20" ht="5" customHeight="1">
      <c r="A228" s="145"/>
      <c r="B228" s="123"/>
      <c r="C228" s="146"/>
      <c r="D228" s="146"/>
      <c r="E228" s="146"/>
      <c r="F228" s="146"/>
      <c r="G228" s="146"/>
      <c r="H228" s="146"/>
      <c r="I228" s="146"/>
      <c r="J228" s="146"/>
      <c r="K228" s="145"/>
      <c r="L228" s="123"/>
      <c r="M228" s="146"/>
      <c r="N228" s="146"/>
      <c r="O228" s="146"/>
      <c r="P228" s="146"/>
      <c r="Q228" s="146"/>
      <c r="R228" s="146"/>
      <c r="S228" s="146"/>
      <c r="T228" s="147"/>
    </row>
    <row r="229" spans="1:20" ht="9" customHeight="1">
      <c r="A229" s="145"/>
      <c r="B229" s="123" t="str">
        <f>IF('Bozza Assegnazioni'!$F$19=3,"X","")</f>
        <v/>
      </c>
      <c r="C229" s="146"/>
      <c r="D229" s="146"/>
      <c r="E229" s="146"/>
      <c r="F229" s="146"/>
      <c r="G229" s="146"/>
      <c r="H229" s="146"/>
      <c r="I229" s="146"/>
      <c r="J229" s="146"/>
      <c r="K229" s="145"/>
      <c r="L229" s="123" t="str">
        <f>IF('Bozza Assegnazioni'!$F$20=3,"X","")</f>
        <v/>
      </c>
      <c r="M229" s="146"/>
      <c r="N229" s="146"/>
      <c r="O229" s="146"/>
      <c r="P229" s="146"/>
      <c r="Q229" s="146"/>
      <c r="R229" s="146"/>
      <c r="S229" s="146"/>
      <c r="T229" s="147"/>
    </row>
    <row r="230" spans="1:20" ht="99" customHeight="1">
      <c r="A230" s="148"/>
      <c r="B230" s="149"/>
      <c r="C230" s="149"/>
      <c r="D230" s="149"/>
      <c r="E230" s="149"/>
      <c r="F230" s="149"/>
      <c r="G230" s="149"/>
      <c r="H230" s="149"/>
      <c r="I230" s="149"/>
      <c r="J230" s="149"/>
      <c r="K230" s="148"/>
      <c r="L230" s="149"/>
      <c r="M230" s="149"/>
      <c r="N230" s="149"/>
      <c r="O230" s="149"/>
      <c r="P230" s="149"/>
      <c r="Q230" s="149"/>
      <c r="R230" s="149"/>
      <c r="S230" s="149"/>
      <c r="T230" s="150"/>
    </row>
    <row r="231" spans="1:20" ht="48" customHeight="1">
      <c r="A231" s="145"/>
      <c r="B231" s="146"/>
      <c r="C231" s="146"/>
      <c r="D231" s="146"/>
      <c r="E231" s="146"/>
      <c r="F231" s="146"/>
      <c r="G231" s="146"/>
      <c r="H231" s="146"/>
      <c r="I231" s="146"/>
      <c r="J231" s="146"/>
      <c r="K231" s="145"/>
      <c r="L231" s="146"/>
      <c r="M231" s="146"/>
      <c r="N231" s="146"/>
      <c r="O231" s="146"/>
      <c r="P231" s="146"/>
      <c r="Q231" s="146"/>
      <c r="R231" s="146"/>
      <c r="S231" s="146"/>
      <c r="T231" s="126"/>
    </row>
    <row r="232" spans="1:20" ht="19" customHeight="1">
      <c r="A232" s="145"/>
      <c r="B232" s="146"/>
      <c r="C232" s="146"/>
      <c r="D232" s="146"/>
      <c r="E232" s="146"/>
      <c r="F232" s="146"/>
      <c r="G232" s="152">
        <f>'Bozza Assegnazioni'!$B$21</f>
        <v>0</v>
      </c>
      <c r="H232" s="152"/>
      <c r="I232" s="152"/>
      <c r="J232" s="122"/>
      <c r="K232" s="145"/>
      <c r="L232" s="146"/>
      <c r="M232" s="146"/>
      <c r="N232" s="146"/>
      <c r="O232" s="146"/>
      <c r="P232" s="146"/>
      <c r="Q232" s="152">
        <f>'Bozza Assegnazioni'!$B$22</f>
        <v>0</v>
      </c>
      <c r="R232" s="152"/>
      <c r="S232" s="152"/>
      <c r="T232" s="126"/>
    </row>
    <row r="233" spans="1:20" ht="7" customHeight="1">
      <c r="A233" s="145"/>
      <c r="B233" s="146"/>
      <c r="C233" s="146"/>
      <c r="D233" s="146"/>
      <c r="E233" s="146"/>
      <c r="F233" s="146"/>
      <c r="G233" s="146"/>
      <c r="H233" s="146"/>
      <c r="I233" s="146"/>
      <c r="J233" s="146"/>
      <c r="K233" s="145"/>
      <c r="L233" s="146"/>
      <c r="M233" s="146"/>
      <c r="N233" s="146"/>
      <c r="O233" s="146"/>
      <c r="P233" s="146"/>
      <c r="Q233" s="146"/>
      <c r="R233" s="146"/>
      <c r="S233" s="146"/>
      <c r="T233" s="147"/>
    </row>
    <row r="234" spans="1:20" ht="21" customHeight="1">
      <c r="A234" s="145"/>
      <c r="B234" s="146"/>
      <c r="C234" s="146"/>
      <c r="D234" s="146"/>
      <c r="E234" s="152" t="str">
        <f>IF(ISBLANK('Bozza Assegnazioni'!$C$21), "", 'Bozza Assegnazioni'!$C$21)</f>
        <v/>
      </c>
      <c r="F234" s="152"/>
      <c r="G234" s="152"/>
      <c r="H234" s="152"/>
      <c r="I234" s="152"/>
      <c r="J234" s="122"/>
      <c r="K234" s="145"/>
      <c r="L234" s="146"/>
      <c r="M234" s="146"/>
      <c r="N234" s="146"/>
      <c r="O234" s="152" t="str">
        <f>IF(ISBLANK('Bozza Assegnazioni'!$C$22), "", 'Bozza Assegnazioni'!$C$22)</f>
        <v/>
      </c>
      <c r="P234" s="152"/>
      <c r="Q234" s="152"/>
      <c r="R234" s="152"/>
      <c r="S234" s="152"/>
      <c r="T234" s="126"/>
    </row>
    <row r="235" spans="1:20" ht="6" customHeight="1">
      <c r="A235" s="145"/>
      <c r="B235" s="146"/>
      <c r="C235" s="146"/>
      <c r="D235" s="146"/>
      <c r="E235" s="146"/>
      <c r="F235" s="146"/>
      <c r="G235" s="146"/>
      <c r="H235" s="146"/>
      <c r="I235" s="146"/>
      <c r="J235" s="146"/>
      <c r="K235" s="145"/>
      <c r="L235" s="146"/>
      <c r="M235" s="146"/>
      <c r="N235" s="146"/>
      <c r="O235" s="146"/>
      <c r="P235" s="146"/>
      <c r="Q235" s="146"/>
      <c r="R235" s="146"/>
      <c r="S235" s="146"/>
      <c r="T235" s="147"/>
    </row>
    <row r="236" spans="1:20" ht="21" customHeight="1">
      <c r="A236" s="145"/>
      <c r="B236" s="146"/>
      <c r="C236" s="146"/>
      <c r="D236" s="151">
        <f>'Bozza Assegnazioni'!$A$21</f>
        <v>0</v>
      </c>
      <c r="E236" s="152"/>
      <c r="F236" s="152"/>
      <c r="G236" s="152"/>
      <c r="H236" s="152"/>
      <c r="I236" s="152"/>
      <c r="J236" s="122"/>
      <c r="K236" s="145"/>
      <c r="L236" s="146"/>
      <c r="M236" s="146"/>
      <c r="N236" s="151">
        <f>'Bozza Assegnazioni'!$A$22</f>
        <v>0</v>
      </c>
      <c r="O236" s="152"/>
      <c r="P236" s="152"/>
      <c r="Q236" s="152"/>
      <c r="R236" s="152"/>
      <c r="S236" s="152"/>
      <c r="T236" s="126"/>
    </row>
    <row r="237" spans="1:20" ht="9" customHeight="1">
      <c r="A237" s="145"/>
      <c r="B237" s="146"/>
      <c r="C237" s="146"/>
      <c r="D237" s="146"/>
      <c r="E237" s="146"/>
      <c r="F237" s="146"/>
      <c r="G237" s="146"/>
      <c r="H237" s="146"/>
      <c r="I237" s="146"/>
      <c r="J237" s="146"/>
      <c r="K237" s="145"/>
      <c r="L237" s="146"/>
      <c r="M237" s="146"/>
      <c r="N237" s="146"/>
      <c r="O237" s="146"/>
      <c r="P237" s="146"/>
      <c r="Q237" s="146"/>
      <c r="R237" s="146"/>
      <c r="S237" s="146"/>
      <c r="T237" s="147"/>
    </row>
    <row r="238" spans="1:20" ht="18" customHeight="1">
      <c r="A238" s="145"/>
      <c r="B238" s="146"/>
      <c r="C238" s="146"/>
      <c r="D238" s="146"/>
      <c r="E238" s="146"/>
      <c r="F238" s="152">
        <f>'Bozza Assegnazioni'!$D$21</f>
        <v>0</v>
      </c>
      <c r="G238" s="152"/>
      <c r="H238" s="152"/>
      <c r="I238" s="152"/>
      <c r="J238" s="122"/>
      <c r="K238" s="145"/>
      <c r="L238" s="146"/>
      <c r="M238" s="146"/>
      <c r="N238" s="146"/>
      <c r="O238" s="146"/>
      <c r="P238" s="152">
        <f>'Bozza Assegnazioni'!$D$22</f>
        <v>0</v>
      </c>
      <c r="Q238" s="152"/>
      <c r="R238" s="152"/>
      <c r="S238" s="152"/>
      <c r="T238" s="126"/>
    </row>
    <row r="239" spans="1:20" ht="33" customHeight="1">
      <c r="A239" s="145"/>
      <c r="B239" s="146"/>
      <c r="C239" s="146"/>
      <c r="D239" s="146"/>
      <c r="E239" s="146"/>
      <c r="F239" s="146"/>
      <c r="G239" s="146"/>
      <c r="H239" s="146"/>
      <c r="I239" s="146"/>
      <c r="J239" s="146"/>
      <c r="K239" s="145"/>
      <c r="L239" s="146"/>
      <c r="M239" s="146"/>
      <c r="N239" s="146"/>
      <c r="O239" s="146"/>
      <c r="P239" s="146"/>
      <c r="Q239" s="146"/>
      <c r="R239" s="146"/>
      <c r="S239" s="146"/>
      <c r="T239" s="147"/>
    </row>
    <row r="240" spans="1:20" ht="9" customHeight="1">
      <c r="A240" s="145"/>
      <c r="B240" s="123" t="str">
        <f>IF('Bozza Assegnazioni'!$E$21="Lettura biblica","X","")</f>
        <v/>
      </c>
      <c r="C240" s="146"/>
      <c r="D240" s="146"/>
      <c r="E240" s="146"/>
      <c r="F240" s="146"/>
      <c r="G240" s="146"/>
      <c r="H240" s="123" t="str">
        <f>IF('Bozza Assegnazioni'!$E$21="Terza visita ulteriore","X","")</f>
        <v/>
      </c>
      <c r="I240" s="146"/>
      <c r="J240" s="146"/>
      <c r="K240" s="145"/>
      <c r="L240" s="123" t="str">
        <f>IF('Bozza Assegnazioni'!$E$22="Lettura biblica","X","")</f>
        <v/>
      </c>
      <c r="M240" s="146"/>
      <c r="N240" s="146"/>
      <c r="O240" s="146"/>
      <c r="P240" s="146"/>
      <c r="Q240" s="146"/>
      <c r="R240" s="123" t="str">
        <f>IF('Bozza Assegnazioni'!$E$22="Terza visita ulteriore","X","")</f>
        <v/>
      </c>
      <c r="S240" s="146"/>
      <c r="T240" s="147"/>
    </row>
    <row r="241" spans="1:20" ht="4" customHeight="1">
      <c r="A241" s="145"/>
      <c r="B241" s="123"/>
      <c r="C241" s="146"/>
      <c r="D241" s="146"/>
      <c r="E241" s="146"/>
      <c r="F241" s="146"/>
      <c r="G241" s="146"/>
      <c r="H241" s="123"/>
      <c r="I241" s="146"/>
      <c r="J241" s="146"/>
      <c r="K241" s="145"/>
      <c r="L241" s="123"/>
      <c r="M241" s="146"/>
      <c r="N241" s="146"/>
      <c r="O241" s="146"/>
      <c r="P241" s="146"/>
      <c r="Q241" s="146"/>
      <c r="R241" s="123"/>
      <c r="S241" s="146"/>
      <c r="T241" s="147"/>
    </row>
    <row r="242" spans="1:20" ht="8" customHeight="1">
      <c r="A242" s="145"/>
      <c r="B242" s="123" t="str">
        <f>IF('Bozza Assegnazioni'!$E$21="Primo contatto","X","")</f>
        <v/>
      </c>
      <c r="C242" s="146"/>
      <c r="D242" s="146"/>
      <c r="E242" s="146"/>
      <c r="F242" s="146"/>
      <c r="G242" s="146"/>
      <c r="H242" s="123" t="str">
        <f>IF('Bozza Assegnazioni'!$E$21="Studio biblico","X","")</f>
        <v/>
      </c>
      <c r="I242" s="146"/>
      <c r="J242" s="146"/>
      <c r="K242" s="145"/>
      <c r="L242" s="124" t="str">
        <f>IF('Bozza Assegnazioni'!$E$22="Primo contatto","X","")</f>
        <v/>
      </c>
      <c r="M242" s="146"/>
      <c r="N242" s="146"/>
      <c r="O242" s="146"/>
      <c r="P242" s="146"/>
      <c r="Q242" s="146"/>
      <c r="R242" s="123" t="str">
        <f>IF('Bozza Assegnazioni'!$E$22="Studio biblico","X","")</f>
        <v/>
      </c>
      <c r="S242" s="146"/>
      <c r="T242" s="147"/>
    </row>
    <row r="243" spans="1:20" ht="5" customHeight="1">
      <c r="A243" s="145"/>
      <c r="B243" s="123"/>
      <c r="C243" s="146"/>
      <c r="D243" s="146"/>
      <c r="E243" s="146"/>
      <c r="F243" s="146"/>
      <c r="G243" s="146"/>
      <c r="H243" s="123"/>
      <c r="I243" s="146"/>
      <c r="J243" s="146"/>
      <c r="K243" s="145"/>
      <c r="L243" s="123"/>
      <c r="M243" s="146"/>
      <c r="N243" s="146"/>
      <c r="O243" s="146"/>
      <c r="P243" s="146"/>
      <c r="Q243" s="146"/>
      <c r="R243" s="123"/>
      <c r="S243" s="146"/>
      <c r="T243" s="147"/>
    </row>
    <row r="244" spans="1:20" ht="9" customHeight="1">
      <c r="A244" s="145"/>
      <c r="B244" s="123" t="str">
        <f>IF('Bozza Assegnazioni'!$E$21="Prima visita ulteriore","X","")</f>
        <v/>
      </c>
      <c r="C244" s="146"/>
      <c r="D244" s="146"/>
      <c r="E244" s="146"/>
      <c r="F244" s="146"/>
      <c r="G244" s="146"/>
      <c r="H244" s="123" t="str">
        <f>IF('Bozza Assegnazioni'!$E$21="Discorso","X","")</f>
        <v/>
      </c>
      <c r="I244" s="146"/>
      <c r="J244" s="146"/>
      <c r="K244" s="145"/>
      <c r="L244" s="123" t="str">
        <f>IF('Bozza Assegnazioni'!$E$22="Prima visita ulteriore","X","")</f>
        <v/>
      </c>
      <c r="M244" s="146"/>
      <c r="N244" s="146"/>
      <c r="O244" s="146"/>
      <c r="P244" s="146"/>
      <c r="Q244" s="146"/>
      <c r="R244" s="123" t="str">
        <f>IF('Bozza Assegnazioni'!$E$22="Discorso","X","")</f>
        <v/>
      </c>
      <c r="S244" s="146"/>
      <c r="T244" s="147"/>
    </row>
    <row r="245" spans="1:20" ht="5" customHeight="1">
      <c r="A245" s="145"/>
      <c r="B245" s="123"/>
      <c r="C245" s="146"/>
      <c r="D245" s="146"/>
      <c r="E245" s="146"/>
      <c r="F245" s="146"/>
      <c r="G245" s="146"/>
      <c r="H245" s="123"/>
      <c r="I245" s="146"/>
      <c r="J245" s="146"/>
      <c r="K245" s="145"/>
      <c r="L245" s="123"/>
      <c r="M245" s="146"/>
      <c r="N245" s="146"/>
      <c r="O245" s="146"/>
      <c r="P245" s="146"/>
      <c r="Q245" s="146"/>
      <c r="R245" s="123"/>
      <c r="S245" s="146"/>
      <c r="T245" s="147"/>
    </row>
    <row r="246" spans="1:20" ht="10" customHeight="1">
      <c r="A246" s="145"/>
      <c r="B246" s="123" t="str">
        <f>IF('Bozza Assegnazioni'!$E$21="Seconda visita ulteriore","X","")</f>
        <v/>
      </c>
      <c r="C246" s="146"/>
      <c r="D246" s="146"/>
      <c r="E246" s="146"/>
      <c r="F246" s="146"/>
      <c r="G246" s="146"/>
      <c r="H246" s="123"/>
      <c r="I246" s="146"/>
      <c r="J246" s="146"/>
      <c r="K246" s="145"/>
      <c r="L246" s="123" t="str">
        <f>IF('Bozza Assegnazioni'!$E$22="Seconda visita ulteriore","X","")</f>
        <v/>
      </c>
      <c r="M246" s="146"/>
      <c r="N246" s="146"/>
      <c r="O246" s="146"/>
      <c r="P246" s="146"/>
      <c r="Q246" s="146"/>
      <c r="R246" s="123"/>
      <c r="S246" s="146"/>
      <c r="T246" s="147"/>
    </row>
    <row r="247" spans="1:20" ht="22" customHeight="1">
      <c r="A247" s="145"/>
      <c r="B247" s="146"/>
      <c r="C247" s="146"/>
      <c r="D247" s="146"/>
      <c r="E247" s="146"/>
      <c r="F247" s="146"/>
      <c r="G247" s="146"/>
      <c r="H247" s="146"/>
      <c r="I247" s="146"/>
      <c r="J247" s="146"/>
      <c r="K247" s="145"/>
      <c r="L247" s="146"/>
      <c r="M247" s="146"/>
      <c r="N247" s="146"/>
      <c r="O247" s="146"/>
      <c r="P247" s="146"/>
      <c r="Q247" s="146"/>
      <c r="R247" s="146"/>
      <c r="S247" s="146"/>
      <c r="T247" s="147"/>
    </row>
    <row r="248" spans="1:20" ht="8" customHeight="1">
      <c r="A248" s="145"/>
      <c r="B248" s="123" t="str">
        <f>IF('Bozza Assegnazioni'!$F$21=1,"X","")</f>
        <v/>
      </c>
      <c r="C248" s="146"/>
      <c r="D248" s="146"/>
      <c r="E248" s="146"/>
      <c r="F248" s="146"/>
      <c r="G248" s="146"/>
      <c r="H248" s="146"/>
      <c r="I248" s="146"/>
      <c r="J248" s="146"/>
      <c r="K248" s="145"/>
      <c r="L248" s="123" t="str">
        <f>IF('Bozza Assegnazioni'!$F$22=1,"X","")</f>
        <v/>
      </c>
      <c r="M248" s="146"/>
      <c r="N248" s="146"/>
      <c r="O248" s="146"/>
      <c r="P248" s="146"/>
      <c r="Q248" s="146"/>
      <c r="R248" s="146"/>
      <c r="S248" s="146"/>
      <c r="T248" s="147"/>
    </row>
    <row r="249" spans="1:20" ht="6" customHeight="1">
      <c r="A249" s="145"/>
      <c r="B249" s="123"/>
      <c r="C249" s="146"/>
      <c r="D249" s="146"/>
      <c r="E249" s="146"/>
      <c r="F249" s="146"/>
      <c r="G249" s="146"/>
      <c r="H249" s="146"/>
      <c r="I249" s="146"/>
      <c r="J249" s="146"/>
      <c r="K249" s="145"/>
      <c r="L249" s="123"/>
      <c r="M249" s="146"/>
      <c r="N249" s="146"/>
      <c r="O249" s="146"/>
      <c r="P249" s="146"/>
      <c r="Q249" s="146"/>
      <c r="R249" s="146"/>
      <c r="S249" s="146"/>
      <c r="T249" s="147"/>
    </row>
    <row r="250" spans="1:20" ht="8" customHeight="1">
      <c r="A250" s="145"/>
      <c r="B250" s="123" t="str">
        <f>IF('Bozza Assegnazioni'!$F$21=2,"X","")</f>
        <v/>
      </c>
      <c r="C250" s="146"/>
      <c r="D250" s="146"/>
      <c r="E250" s="146"/>
      <c r="F250" s="146"/>
      <c r="G250" s="146"/>
      <c r="H250" s="146"/>
      <c r="I250" s="146"/>
      <c r="J250" s="146"/>
      <c r="K250" s="145"/>
      <c r="L250" s="123" t="str">
        <f>IF('Bozza Assegnazioni'!$F$22=2,"X","")</f>
        <v/>
      </c>
      <c r="M250" s="146"/>
      <c r="N250" s="146"/>
      <c r="O250" s="146"/>
      <c r="P250" s="146"/>
      <c r="Q250" s="146"/>
      <c r="R250" s="146"/>
      <c r="S250" s="146"/>
      <c r="T250" s="147"/>
    </row>
    <row r="251" spans="1:20" ht="5" customHeight="1">
      <c r="A251" s="145"/>
      <c r="B251" s="123"/>
      <c r="C251" s="146"/>
      <c r="D251" s="146"/>
      <c r="E251" s="146"/>
      <c r="F251" s="146"/>
      <c r="G251" s="146"/>
      <c r="H251" s="146"/>
      <c r="I251" s="146"/>
      <c r="J251" s="146"/>
      <c r="K251" s="145"/>
      <c r="L251" s="123"/>
      <c r="M251" s="146"/>
      <c r="N251" s="146"/>
      <c r="O251" s="146"/>
      <c r="P251" s="146"/>
      <c r="Q251" s="146"/>
      <c r="R251" s="146"/>
      <c r="S251" s="146"/>
      <c r="T251" s="147"/>
    </row>
    <row r="252" spans="1:20" ht="9" customHeight="1">
      <c r="A252" s="145"/>
      <c r="B252" s="123" t="str">
        <f>IF('Bozza Assegnazioni'!$F$21=3,"X","")</f>
        <v/>
      </c>
      <c r="C252" s="146"/>
      <c r="D252" s="146"/>
      <c r="E252" s="146"/>
      <c r="F252" s="146"/>
      <c r="G252" s="146"/>
      <c r="H252" s="146"/>
      <c r="I252" s="146"/>
      <c r="J252" s="146"/>
      <c r="K252" s="145"/>
      <c r="L252" s="123" t="str">
        <f>IF('Bozza Assegnazioni'!$F$22=3,"X","")</f>
        <v/>
      </c>
      <c r="M252" s="146"/>
      <c r="N252" s="146"/>
      <c r="O252" s="146"/>
      <c r="P252" s="146"/>
      <c r="Q252" s="146"/>
      <c r="R252" s="146"/>
      <c r="S252" s="146"/>
      <c r="T252" s="147"/>
    </row>
    <row r="253" spans="1:20" ht="99" customHeight="1">
      <c r="A253" s="148"/>
      <c r="B253" s="149"/>
      <c r="C253" s="149"/>
      <c r="D253" s="149"/>
      <c r="E253" s="149"/>
      <c r="F253" s="149"/>
      <c r="G253" s="149"/>
      <c r="H253" s="149"/>
      <c r="I253" s="149"/>
      <c r="J253" s="149"/>
      <c r="K253" s="148"/>
      <c r="L253" s="149"/>
      <c r="M253" s="149"/>
      <c r="N253" s="149"/>
      <c r="O253" s="149"/>
      <c r="P253" s="149"/>
      <c r="Q253" s="149"/>
      <c r="R253" s="149"/>
      <c r="S253" s="149"/>
      <c r="T253" s="150"/>
    </row>
    <row r="254" spans="1:20" ht="48" customHeight="1">
      <c r="A254" s="145"/>
      <c r="B254" s="146"/>
      <c r="C254" s="146"/>
      <c r="D254" s="146"/>
      <c r="E254" s="146"/>
      <c r="F254" s="146"/>
      <c r="G254" s="146"/>
      <c r="H254" s="146"/>
      <c r="I254" s="146"/>
      <c r="J254" s="146"/>
      <c r="K254" s="145"/>
      <c r="L254" s="146"/>
      <c r="M254" s="146"/>
      <c r="N254" s="146"/>
      <c r="O254" s="146"/>
      <c r="P254" s="146"/>
      <c r="Q254" s="146"/>
      <c r="R254" s="146"/>
      <c r="S254" s="146"/>
      <c r="T254" s="126"/>
    </row>
    <row r="255" spans="1:20" ht="19" customHeight="1">
      <c r="A255" s="145"/>
      <c r="B255" s="146"/>
      <c r="C255" s="146"/>
      <c r="D255" s="146"/>
      <c r="E255" s="146"/>
      <c r="F255" s="146"/>
      <c r="G255" s="152">
        <f>'Bozza Assegnazioni'!$B$23</f>
        <v>0</v>
      </c>
      <c r="H255" s="152"/>
      <c r="I255" s="152"/>
      <c r="J255" s="122"/>
      <c r="K255" s="145"/>
      <c r="L255" s="146"/>
      <c r="M255" s="146"/>
      <c r="N255" s="146"/>
      <c r="O255" s="146"/>
      <c r="P255" s="146"/>
      <c r="Q255" s="152">
        <f>'Bozza Assegnazioni'!$B$24</f>
        <v>0</v>
      </c>
      <c r="R255" s="152"/>
      <c r="S255" s="152"/>
      <c r="T255" s="126"/>
    </row>
    <row r="256" spans="1:20" ht="7" customHeight="1">
      <c r="A256" s="145"/>
      <c r="B256" s="146"/>
      <c r="C256" s="146"/>
      <c r="D256" s="146"/>
      <c r="E256" s="146"/>
      <c r="F256" s="146"/>
      <c r="G256" s="146"/>
      <c r="H256" s="146"/>
      <c r="I256" s="146"/>
      <c r="J256" s="146"/>
      <c r="K256" s="145"/>
      <c r="L256" s="146"/>
      <c r="M256" s="146"/>
      <c r="N256" s="146"/>
      <c r="O256" s="146"/>
      <c r="P256" s="146"/>
      <c r="Q256" s="146"/>
      <c r="R256" s="146"/>
      <c r="S256" s="146"/>
      <c r="T256" s="147"/>
    </row>
    <row r="257" spans="1:20" ht="21" customHeight="1">
      <c r="A257" s="145"/>
      <c r="B257" s="146"/>
      <c r="C257" s="146"/>
      <c r="D257" s="146"/>
      <c r="E257" s="152" t="str">
        <f>IF(ISBLANK('Bozza Assegnazioni'!$C$23), "", 'Bozza Assegnazioni'!$C$23)</f>
        <v/>
      </c>
      <c r="F257" s="152"/>
      <c r="G257" s="152"/>
      <c r="H257" s="152"/>
      <c r="I257" s="152"/>
      <c r="J257" s="122"/>
      <c r="K257" s="145"/>
      <c r="L257" s="146"/>
      <c r="M257" s="146"/>
      <c r="N257" s="146"/>
      <c r="O257" s="152" t="str">
        <f>IF(ISBLANK('Bozza Assegnazioni'!$C$24), "", 'Bozza Assegnazioni'!$C$24)</f>
        <v/>
      </c>
      <c r="P257" s="152"/>
      <c r="Q257" s="152"/>
      <c r="R257" s="152"/>
      <c r="S257" s="152"/>
      <c r="T257" s="126"/>
    </row>
    <row r="258" spans="1:20" ht="6" customHeight="1">
      <c r="A258" s="145"/>
      <c r="B258" s="146"/>
      <c r="C258" s="146"/>
      <c r="D258" s="146"/>
      <c r="E258" s="146"/>
      <c r="F258" s="146"/>
      <c r="G258" s="146"/>
      <c r="H258" s="146"/>
      <c r="I258" s="146"/>
      <c r="J258" s="146"/>
      <c r="K258" s="145"/>
      <c r="L258" s="146"/>
      <c r="M258" s="146"/>
      <c r="N258" s="146"/>
      <c r="O258" s="146"/>
      <c r="P258" s="146"/>
      <c r="Q258" s="146"/>
      <c r="R258" s="146"/>
      <c r="S258" s="146"/>
      <c r="T258" s="147"/>
    </row>
    <row r="259" spans="1:20" ht="21" customHeight="1">
      <c r="A259" s="145"/>
      <c r="B259" s="146"/>
      <c r="C259" s="146"/>
      <c r="D259" s="151">
        <f>'Bozza Assegnazioni'!$A$23</f>
        <v>0</v>
      </c>
      <c r="E259" s="152"/>
      <c r="F259" s="152"/>
      <c r="G259" s="152"/>
      <c r="H259" s="152"/>
      <c r="I259" s="152"/>
      <c r="J259" s="122"/>
      <c r="K259" s="145"/>
      <c r="L259" s="146"/>
      <c r="M259" s="146"/>
      <c r="N259" s="151">
        <f>'Bozza Assegnazioni'!$A$24</f>
        <v>0</v>
      </c>
      <c r="O259" s="152"/>
      <c r="P259" s="152"/>
      <c r="Q259" s="152"/>
      <c r="R259" s="152"/>
      <c r="S259" s="152"/>
      <c r="T259" s="126"/>
    </row>
    <row r="260" spans="1:20" ht="9" customHeight="1">
      <c r="A260" s="145"/>
      <c r="B260" s="146"/>
      <c r="C260" s="146"/>
      <c r="D260" s="146"/>
      <c r="E260" s="146"/>
      <c r="F260" s="146"/>
      <c r="G260" s="146"/>
      <c r="H260" s="146"/>
      <c r="I260" s="146"/>
      <c r="J260" s="146"/>
      <c r="K260" s="145"/>
      <c r="L260" s="146"/>
      <c r="M260" s="146"/>
      <c r="N260" s="146"/>
      <c r="O260" s="146"/>
      <c r="P260" s="146"/>
      <c r="Q260" s="146"/>
      <c r="R260" s="146"/>
      <c r="S260" s="146"/>
      <c r="T260" s="147"/>
    </row>
    <row r="261" spans="1:20" ht="18" customHeight="1">
      <c r="A261" s="145"/>
      <c r="B261" s="146"/>
      <c r="C261" s="146"/>
      <c r="D261" s="146"/>
      <c r="E261" s="146"/>
      <c r="F261" s="152">
        <f>'Bozza Assegnazioni'!$D$23</f>
        <v>0</v>
      </c>
      <c r="G261" s="152"/>
      <c r="H261" s="152"/>
      <c r="I261" s="152"/>
      <c r="J261" s="122"/>
      <c r="K261" s="145"/>
      <c r="L261" s="146"/>
      <c r="M261" s="146"/>
      <c r="N261" s="146"/>
      <c r="O261" s="146"/>
      <c r="P261" s="152">
        <f>'Bozza Assegnazioni'!$D$24</f>
        <v>0</v>
      </c>
      <c r="Q261" s="152"/>
      <c r="R261" s="152"/>
      <c r="S261" s="152"/>
      <c r="T261" s="126"/>
    </row>
    <row r="262" spans="1:20" ht="33" customHeight="1">
      <c r="A262" s="145"/>
      <c r="B262" s="146"/>
      <c r="C262" s="146"/>
      <c r="D262" s="146"/>
      <c r="E262" s="146"/>
      <c r="F262" s="146"/>
      <c r="G262" s="146"/>
      <c r="H262" s="146"/>
      <c r="I262" s="146"/>
      <c r="J262" s="146"/>
      <c r="K262" s="145"/>
      <c r="L262" s="146"/>
      <c r="M262" s="146"/>
      <c r="N262" s="146"/>
      <c r="O262" s="146"/>
      <c r="P262" s="146"/>
      <c r="Q262" s="146"/>
      <c r="R262" s="146"/>
      <c r="S262" s="146"/>
      <c r="T262" s="147"/>
    </row>
    <row r="263" spans="1:20" ht="9" customHeight="1">
      <c r="A263" s="145"/>
      <c r="B263" s="123" t="str">
        <f>IF('Bozza Assegnazioni'!$E$23="Lettura biblica","X","")</f>
        <v/>
      </c>
      <c r="C263" s="146"/>
      <c r="D263" s="146"/>
      <c r="E263" s="146"/>
      <c r="F263" s="146"/>
      <c r="G263" s="146"/>
      <c r="H263" s="123" t="str">
        <f>IF('Bozza Assegnazioni'!$E$23="Terza visita ulteriore","X","")</f>
        <v/>
      </c>
      <c r="I263" s="146"/>
      <c r="J263" s="146"/>
      <c r="K263" s="145"/>
      <c r="L263" s="123" t="str">
        <f>IF('Bozza Assegnazioni'!$E$24="Lettura biblica","X","")</f>
        <v/>
      </c>
      <c r="M263" s="146"/>
      <c r="N263" s="146"/>
      <c r="O263" s="146"/>
      <c r="P263" s="146"/>
      <c r="Q263" s="146"/>
      <c r="R263" s="123" t="str">
        <f>IF('Bozza Assegnazioni'!$E$24="Terza visita ulteriore","X","")</f>
        <v/>
      </c>
      <c r="S263" s="146"/>
      <c r="T263" s="147"/>
    </row>
    <row r="264" spans="1:20" ht="4" customHeight="1">
      <c r="A264" s="145"/>
      <c r="B264" s="123"/>
      <c r="C264" s="146"/>
      <c r="D264" s="146"/>
      <c r="E264" s="146"/>
      <c r="F264" s="146"/>
      <c r="G264" s="146"/>
      <c r="H264" s="123"/>
      <c r="I264" s="146"/>
      <c r="J264" s="146"/>
      <c r="K264" s="145"/>
      <c r="L264" s="123"/>
      <c r="M264" s="146"/>
      <c r="N264" s="146"/>
      <c r="O264" s="146"/>
      <c r="P264" s="146"/>
      <c r="Q264" s="146"/>
      <c r="R264" s="123"/>
      <c r="S264" s="146"/>
      <c r="T264" s="147"/>
    </row>
    <row r="265" spans="1:20" ht="8" customHeight="1">
      <c r="A265" s="145"/>
      <c r="B265" s="123" t="str">
        <f>IF('Bozza Assegnazioni'!$E$23="Primo contatto","X","")</f>
        <v/>
      </c>
      <c r="C265" s="146"/>
      <c r="D265" s="146"/>
      <c r="E265" s="146"/>
      <c r="F265" s="146"/>
      <c r="G265" s="146"/>
      <c r="H265" s="123" t="str">
        <f>IF('Bozza Assegnazioni'!$E$23="Studio biblico","X","")</f>
        <v/>
      </c>
      <c r="I265" s="146"/>
      <c r="J265" s="146"/>
      <c r="K265" s="145"/>
      <c r="L265" s="124" t="str">
        <f>IF('Bozza Assegnazioni'!$E$24="Primo contatto","X","")</f>
        <v/>
      </c>
      <c r="M265" s="146"/>
      <c r="N265" s="146"/>
      <c r="O265" s="146"/>
      <c r="P265" s="146"/>
      <c r="Q265" s="146"/>
      <c r="R265" s="123" t="str">
        <f>IF('Bozza Assegnazioni'!$E$24="Studio biblico","X","")</f>
        <v/>
      </c>
      <c r="S265" s="146"/>
      <c r="T265" s="147"/>
    </row>
    <row r="266" spans="1:20" ht="5" customHeight="1">
      <c r="A266" s="145"/>
      <c r="B266" s="123"/>
      <c r="C266" s="146"/>
      <c r="D266" s="146"/>
      <c r="E266" s="146"/>
      <c r="F266" s="146"/>
      <c r="G266" s="146"/>
      <c r="H266" s="123"/>
      <c r="I266" s="146"/>
      <c r="J266" s="146"/>
      <c r="K266" s="145"/>
      <c r="L266" s="123"/>
      <c r="M266" s="146"/>
      <c r="N266" s="146"/>
      <c r="O266" s="146"/>
      <c r="P266" s="146"/>
      <c r="Q266" s="146"/>
      <c r="R266" s="123"/>
      <c r="S266" s="146"/>
      <c r="T266" s="147"/>
    </row>
    <row r="267" spans="1:20" ht="9" customHeight="1">
      <c r="A267" s="145"/>
      <c r="B267" s="123" t="str">
        <f>IF('Bozza Assegnazioni'!$E$23="Prima visita ulteriore","X","")</f>
        <v/>
      </c>
      <c r="C267" s="146"/>
      <c r="D267" s="146"/>
      <c r="E267" s="146"/>
      <c r="F267" s="146"/>
      <c r="G267" s="146"/>
      <c r="H267" s="123" t="str">
        <f>IF('Bozza Assegnazioni'!$E$23="Discorso","X","")</f>
        <v/>
      </c>
      <c r="I267" s="146"/>
      <c r="J267" s="146"/>
      <c r="K267" s="145"/>
      <c r="L267" s="123" t="str">
        <f>IF('Bozza Assegnazioni'!$E$24="Prima visita ulteriore","X","")</f>
        <v/>
      </c>
      <c r="M267" s="146"/>
      <c r="N267" s="146"/>
      <c r="O267" s="146"/>
      <c r="P267" s="146"/>
      <c r="Q267" s="146"/>
      <c r="R267" s="123" t="str">
        <f>IF('Bozza Assegnazioni'!$E$24="Discorso","X","")</f>
        <v/>
      </c>
      <c r="S267" s="146"/>
      <c r="T267" s="147"/>
    </row>
    <row r="268" spans="1:20" ht="5" customHeight="1">
      <c r="A268" s="145"/>
      <c r="B268" s="123"/>
      <c r="C268" s="146"/>
      <c r="D268" s="146"/>
      <c r="E268" s="146"/>
      <c r="F268" s="146"/>
      <c r="G268" s="146"/>
      <c r="H268" s="123"/>
      <c r="I268" s="146"/>
      <c r="J268" s="146"/>
      <c r="K268" s="145"/>
      <c r="L268" s="123"/>
      <c r="M268" s="146"/>
      <c r="N268" s="146"/>
      <c r="O268" s="146"/>
      <c r="P268" s="146"/>
      <c r="Q268" s="146"/>
      <c r="R268" s="123"/>
      <c r="S268" s="146"/>
      <c r="T268" s="147"/>
    </row>
    <row r="269" spans="1:20" ht="10" customHeight="1">
      <c r="A269" s="145"/>
      <c r="B269" s="123" t="str">
        <f>IF('Bozza Assegnazioni'!$E$23="Seconda visita ulteriore","X","")</f>
        <v/>
      </c>
      <c r="C269" s="146"/>
      <c r="D269" s="146"/>
      <c r="E269" s="146"/>
      <c r="F269" s="146"/>
      <c r="G269" s="146"/>
      <c r="H269" s="123"/>
      <c r="I269" s="146"/>
      <c r="J269" s="146"/>
      <c r="K269" s="145"/>
      <c r="L269" s="123" t="str">
        <f>IF('Bozza Assegnazioni'!$E$24="Seconda visita ulteriore","X","")</f>
        <v/>
      </c>
      <c r="M269" s="146"/>
      <c r="N269" s="146"/>
      <c r="O269" s="146"/>
      <c r="P269" s="146"/>
      <c r="Q269" s="146"/>
      <c r="R269" s="123"/>
      <c r="S269" s="146"/>
      <c r="T269" s="147"/>
    </row>
    <row r="270" spans="1:20" ht="22" customHeight="1">
      <c r="A270" s="145"/>
      <c r="B270" s="146"/>
      <c r="C270" s="146"/>
      <c r="D270" s="146"/>
      <c r="E270" s="146"/>
      <c r="F270" s="146"/>
      <c r="G270" s="146"/>
      <c r="H270" s="146"/>
      <c r="I270" s="146"/>
      <c r="J270" s="146"/>
      <c r="K270" s="145"/>
      <c r="L270" s="146"/>
      <c r="M270" s="146"/>
      <c r="N270" s="146"/>
      <c r="O270" s="146"/>
      <c r="P270" s="146"/>
      <c r="Q270" s="146"/>
      <c r="R270" s="146"/>
      <c r="S270" s="146"/>
      <c r="T270" s="147"/>
    </row>
    <row r="271" spans="1:20" ht="8" customHeight="1">
      <c r="A271" s="145"/>
      <c r="B271" s="123" t="str">
        <f>IF('Bozza Assegnazioni'!$F$23=1,"X","")</f>
        <v/>
      </c>
      <c r="C271" s="146"/>
      <c r="D271" s="146"/>
      <c r="E271" s="146"/>
      <c r="F271" s="146"/>
      <c r="G271" s="146"/>
      <c r="H271" s="146"/>
      <c r="I271" s="146"/>
      <c r="J271" s="146"/>
      <c r="K271" s="145"/>
      <c r="L271" s="123" t="str">
        <f>IF('Bozza Assegnazioni'!$F$24=1,"X","")</f>
        <v/>
      </c>
      <c r="M271" s="146"/>
      <c r="N271" s="146"/>
      <c r="O271" s="146"/>
      <c r="P271" s="146"/>
      <c r="Q271" s="146"/>
      <c r="R271" s="146"/>
      <c r="S271" s="146"/>
      <c r="T271" s="147"/>
    </row>
    <row r="272" spans="1:20" ht="6" customHeight="1">
      <c r="A272" s="145"/>
      <c r="B272" s="123"/>
      <c r="C272" s="146"/>
      <c r="D272" s="146"/>
      <c r="E272" s="146"/>
      <c r="F272" s="146"/>
      <c r="G272" s="146"/>
      <c r="H272" s="146"/>
      <c r="I272" s="146"/>
      <c r="J272" s="146"/>
      <c r="K272" s="145"/>
      <c r="L272" s="123"/>
      <c r="M272" s="146"/>
      <c r="N272" s="146"/>
      <c r="O272" s="146"/>
      <c r="P272" s="146"/>
      <c r="Q272" s="146"/>
      <c r="R272" s="146"/>
      <c r="S272" s="146"/>
      <c r="T272" s="147"/>
    </row>
    <row r="273" spans="1:20" ht="8" customHeight="1">
      <c r="A273" s="145"/>
      <c r="B273" s="123" t="str">
        <f>IF('Bozza Assegnazioni'!$F$23=2,"X","")</f>
        <v/>
      </c>
      <c r="C273" s="146"/>
      <c r="D273" s="146"/>
      <c r="E273" s="146"/>
      <c r="F273" s="146"/>
      <c r="G273" s="146"/>
      <c r="H273" s="146"/>
      <c r="I273" s="146"/>
      <c r="J273" s="146"/>
      <c r="K273" s="145"/>
      <c r="L273" s="123" t="str">
        <f>IF('Bozza Assegnazioni'!$F$24=2,"X","")</f>
        <v/>
      </c>
      <c r="M273" s="146"/>
      <c r="N273" s="146"/>
      <c r="O273" s="146"/>
      <c r="P273" s="146"/>
      <c r="Q273" s="146"/>
      <c r="R273" s="146"/>
      <c r="S273" s="146"/>
      <c r="T273" s="147"/>
    </row>
    <row r="274" spans="1:20" ht="5" customHeight="1">
      <c r="A274" s="145"/>
      <c r="B274" s="123"/>
      <c r="C274" s="146"/>
      <c r="D274" s="146"/>
      <c r="E274" s="146"/>
      <c r="F274" s="146"/>
      <c r="G274" s="146"/>
      <c r="H274" s="146"/>
      <c r="I274" s="146"/>
      <c r="J274" s="146"/>
      <c r="K274" s="145"/>
      <c r="L274" s="123"/>
      <c r="M274" s="146"/>
      <c r="N274" s="146"/>
      <c r="O274" s="146"/>
      <c r="P274" s="146"/>
      <c r="Q274" s="146"/>
      <c r="R274" s="146"/>
      <c r="S274" s="146"/>
      <c r="T274" s="147"/>
    </row>
    <row r="275" spans="1:20" ht="9" customHeight="1">
      <c r="A275" s="145"/>
      <c r="B275" s="123" t="str">
        <f>IF('Bozza Assegnazioni'!$F$23=3,"X","")</f>
        <v/>
      </c>
      <c r="C275" s="146"/>
      <c r="D275" s="146"/>
      <c r="E275" s="146"/>
      <c r="F275" s="146"/>
      <c r="G275" s="146"/>
      <c r="H275" s="146"/>
      <c r="I275" s="146"/>
      <c r="J275" s="146"/>
      <c r="K275" s="145"/>
      <c r="L275" s="123" t="str">
        <f>IF('Bozza Assegnazioni'!$F$24=3,"X","")</f>
        <v/>
      </c>
      <c r="M275" s="146"/>
      <c r="N275" s="146"/>
      <c r="O275" s="146"/>
      <c r="P275" s="146"/>
      <c r="Q275" s="146"/>
      <c r="R275" s="146"/>
      <c r="S275" s="146"/>
      <c r="T275" s="147"/>
    </row>
    <row r="276" spans="1:20" ht="99" customHeight="1">
      <c r="A276" s="148"/>
      <c r="B276" s="149"/>
      <c r="C276" s="149"/>
      <c r="D276" s="149"/>
      <c r="E276" s="149"/>
      <c r="F276" s="149"/>
      <c r="G276" s="149"/>
      <c r="H276" s="149"/>
      <c r="I276" s="149"/>
      <c r="J276" s="149"/>
      <c r="K276" s="148"/>
      <c r="L276" s="149"/>
      <c r="M276" s="149"/>
      <c r="N276" s="149"/>
      <c r="O276" s="149"/>
      <c r="P276" s="149"/>
      <c r="Q276" s="149"/>
      <c r="R276" s="149"/>
      <c r="S276" s="149"/>
      <c r="T276" s="150"/>
    </row>
  </sheetData>
  <mergeCells count="480">
    <mergeCell ref="A270:J270"/>
    <mergeCell ref="K270:T270"/>
    <mergeCell ref="A271:A275"/>
    <mergeCell ref="C271:J275"/>
    <mergeCell ref="K271:K275"/>
    <mergeCell ref="M271:T275"/>
    <mergeCell ref="A276:J276"/>
    <mergeCell ref="K276:T276"/>
    <mergeCell ref="A260:J260"/>
    <mergeCell ref="K260:T260"/>
    <mergeCell ref="A261:E261"/>
    <mergeCell ref="F261:I261"/>
    <mergeCell ref="K261:O261"/>
    <mergeCell ref="P261:S261"/>
    <mergeCell ref="A262:J262"/>
    <mergeCell ref="K262:T262"/>
    <mergeCell ref="A263:A269"/>
    <mergeCell ref="C263:G269"/>
    <mergeCell ref="I263:J269"/>
    <mergeCell ref="K263:K269"/>
    <mergeCell ref="M263:Q269"/>
    <mergeCell ref="S263:T269"/>
    <mergeCell ref="A256:J256"/>
    <mergeCell ref="K256:T256"/>
    <mergeCell ref="A257:D257"/>
    <mergeCell ref="E257:I257"/>
    <mergeCell ref="K257:N257"/>
    <mergeCell ref="O257:S257"/>
    <mergeCell ref="A258:J258"/>
    <mergeCell ref="K258:T258"/>
    <mergeCell ref="A259:C259"/>
    <mergeCell ref="D259:I259"/>
    <mergeCell ref="K259:M259"/>
    <mergeCell ref="N259:S259"/>
    <mergeCell ref="A248:A252"/>
    <mergeCell ref="C248:J252"/>
    <mergeCell ref="K248:K252"/>
    <mergeCell ref="M248:T252"/>
    <mergeCell ref="A253:J253"/>
    <mergeCell ref="K253:T253"/>
    <mergeCell ref="A254:J254"/>
    <mergeCell ref="K254:S254"/>
    <mergeCell ref="A255:F255"/>
    <mergeCell ref="G255:I255"/>
    <mergeCell ref="K255:P255"/>
    <mergeCell ref="Q255:S255"/>
    <mergeCell ref="A239:J239"/>
    <mergeCell ref="K239:T239"/>
    <mergeCell ref="A240:A246"/>
    <mergeCell ref="C240:G246"/>
    <mergeCell ref="I240:J246"/>
    <mergeCell ref="K240:K246"/>
    <mergeCell ref="M240:Q246"/>
    <mergeCell ref="S240:T246"/>
    <mergeCell ref="A247:J247"/>
    <mergeCell ref="K247:T247"/>
    <mergeCell ref="A235:J235"/>
    <mergeCell ref="K235:T235"/>
    <mergeCell ref="A236:C236"/>
    <mergeCell ref="D236:I236"/>
    <mergeCell ref="K236:M236"/>
    <mergeCell ref="N236:S236"/>
    <mergeCell ref="A237:J237"/>
    <mergeCell ref="K237:T237"/>
    <mergeCell ref="A238:E238"/>
    <mergeCell ref="F238:I238"/>
    <mergeCell ref="K238:O238"/>
    <mergeCell ref="P238:S238"/>
    <mergeCell ref="A231:J231"/>
    <mergeCell ref="K231:S231"/>
    <mergeCell ref="A232:F232"/>
    <mergeCell ref="G232:I232"/>
    <mergeCell ref="K232:P232"/>
    <mergeCell ref="Q232:S232"/>
    <mergeCell ref="A233:J233"/>
    <mergeCell ref="K233:T233"/>
    <mergeCell ref="A234:D234"/>
    <mergeCell ref="E234:I234"/>
    <mergeCell ref="K234:N234"/>
    <mergeCell ref="O234:S234"/>
    <mergeCell ref="A138:J138"/>
    <mergeCell ref="K138:T138"/>
    <mergeCell ref="A132:J132"/>
    <mergeCell ref="K132:T132"/>
    <mergeCell ref="A133:A137"/>
    <mergeCell ref="C133:J137"/>
    <mergeCell ref="K133:K137"/>
    <mergeCell ref="M133:T137"/>
    <mergeCell ref="A124:J124"/>
    <mergeCell ref="K124:T124"/>
    <mergeCell ref="A125:A131"/>
    <mergeCell ref="C125:G131"/>
    <mergeCell ref="I125:J131"/>
    <mergeCell ref="K125:K131"/>
    <mergeCell ref="M125:Q131"/>
    <mergeCell ref="S125:T131"/>
    <mergeCell ref="A122:J122"/>
    <mergeCell ref="K122:T122"/>
    <mergeCell ref="A123:E123"/>
    <mergeCell ref="F123:I123"/>
    <mergeCell ref="K123:O123"/>
    <mergeCell ref="P123:S123"/>
    <mergeCell ref="A120:J120"/>
    <mergeCell ref="K120:T120"/>
    <mergeCell ref="A121:C121"/>
    <mergeCell ref="D121:I121"/>
    <mergeCell ref="K121:M121"/>
    <mergeCell ref="N121:S121"/>
    <mergeCell ref="A118:J118"/>
    <mergeCell ref="K118:T118"/>
    <mergeCell ref="A119:D119"/>
    <mergeCell ref="E119:I119"/>
    <mergeCell ref="K119:N119"/>
    <mergeCell ref="O119:S119"/>
    <mergeCell ref="A115:J115"/>
    <mergeCell ref="K115:T115"/>
    <mergeCell ref="A116:J116"/>
    <mergeCell ref="K116:S116"/>
    <mergeCell ref="A117:F117"/>
    <mergeCell ref="G117:I117"/>
    <mergeCell ref="K117:P117"/>
    <mergeCell ref="Q117:S117"/>
    <mergeCell ref="A109:J109"/>
    <mergeCell ref="K109:T109"/>
    <mergeCell ref="A110:A114"/>
    <mergeCell ref="C110:J114"/>
    <mergeCell ref="K110:K114"/>
    <mergeCell ref="M110:T114"/>
    <mergeCell ref="A101:J101"/>
    <mergeCell ref="K101:T101"/>
    <mergeCell ref="A102:A108"/>
    <mergeCell ref="C102:G108"/>
    <mergeCell ref="I102:J108"/>
    <mergeCell ref="K102:K108"/>
    <mergeCell ref="M102:Q108"/>
    <mergeCell ref="S102:T108"/>
    <mergeCell ref="A99:J99"/>
    <mergeCell ref="K99:T99"/>
    <mergeCell ref="A100:E100"/>
    <mergeCell ref="F100:I100"/>
    <mergeCell ref="K100:O100"/>
    <mergeCell ref="P100:S100"/>
    <mergeCell ref="A97:J97"/>
    <mergeCell ref="K97:T97"/>
    <mergeCell ref="A98:C98"/>
    <mergeCell ref="D98:I98"/>
    <mergeCell ref="K98:M98"/>
    <mergeCell ref="N98:S98"/>
    <mergeCell ref="A95:J95"/>
    <mergeCell ref="K95:T95"/>
    <mergeCell ref="A96:D96"/>
    <mergeCell ref="E96:I96"/>
    <mergeCell ref="K96:N96"/>
    <mergeCell ref="O96:S96"/>
    <mergeCell ref="A92:J92"/>
    <mergeCell ref="K92:T92"/>
    <mergeCell ref="A93:J93"/>
    <mergeCell ref="K93:S93"/>
    <mergeCell ref="A94:F94"/>
    <mergeCell ref="G94:I94"/>
    <mergeCell ref="K94:P94"/>
    <mergeCell ref="Q94:S94"/>
    <mergeCell ref="A86:J86"/>
    <mergeCell ref="K86:T86"/>
    <mergeCell ref="A87:A91"/>
    <mergeCell ref="C87:J91"/>
    <mergeCell ref="K87:K91"/>
    <mergeCell ref="M87:T91"/>
    <mergeCell ref="A79:A85"/>
    <mergeCell ref="C79:G85"/>
    <mergeCell ref="I79:J85"/>
    <mergeCell ref="K79:K85"/>
    <mergeCell ref="M79:Q85"/>
    <mergeCell ref="S79:T85"/>
    <mergeCell ref="A77:E77"/>
    <mergeCell ref="F77:I77"/>
    <mergeCell ref="K77:O77"/>
    <mergeCell ref="P77:S77"/>
    <mergeCell ref="A78:J78"/>
    <mergeCell ref="K78:T78"/>
    <mergeCell ref="A75:C75"/>
    <mergeCell ref="D75:I75"/>
    <mergeCell ref="K75:M75"/>
    <mergeCell ref="N75:S75"/>
    <mergeCell ref="A76:J76"/>
    <mergeCell ref="K76:T76"/>
    <mergeCell ref="A73:D73"/>
    <mergeCell ref="E73:I73"/>
    <mergeCell ref="K73:N73"/>
    <mergeCell ref="O73:S73"/>
    <mergeCell ref="A74:J74"/>
    <mergeCell ref="K74:T74"/>
    <mergeCell ref="A71:F71"/>
    <mergeCell ref="G71:I71"/>
    <mergeCell ref="K71:P71"/>
    <mergeCell ref="Q71:S71"/>
    <mergeCell ref="A72:J72"/>
    <mergeCell ref="K72:T72"/>
    <mergeCell ref="A69:J69"/>
    <mergeCell ref="K69:T69"/>
    <mergeCell ref="K24:S24"/>
    <mergeCell ref="K47:S47"/>
    <mergeCell ref="A70:J70"/>
    <mergeCell ref="K70:S70"/>
    <mergeCell ref="A63:J63"/>
    <mergeCell ref="K63:T63"/>
    <mergeCell ref="A64:A68"/>
    <mergeCell ref="C64:J68"/>
    <mergeCell ref="K64:K68"/>
    <mergeCell ref="M64:T68"/>
    <mergeCell ref="A55:J55"/>
    <mergeCell ref="K55:T55"/>
    <mergeCell ref="A56:A62"/>
    <mergeCell ref="C56:G62"/>
    <mergeCell ref="I56:J62"/>
    <mergeCell ref="K56:K62"/>
    <mergeCell ref="M56:Q62"/>
    <mergeCell ref="S56:T62"/>
    <mergeCell ref="A53:J53"/>
    <mergeCell ref="K53:T53"/>
    <mergeCell ref="A54:E54"/>
    <mergeCell ref="F54:I54"/>
    <mergeCell ref="K54:O54"/>
    <mergeCell ref="P54:S54"/>
    <mergeCell ref="A51:J51"/>
    <mergeCell ref="K51:T51"/>
    <mergeCell ref="A52:C52"/>
    <mergeCell ref="D52:I52"/>
    <mergeCell ref="K52:M52"/>
    <mergeCell ref="N52:S52"/>
    <mergeCell ref="A49:J49"/>
    <mergeCell ref="K49:T49"/>
    <mergeCell ref="A50:D50"/>
    <mergeCell ref="E50:I50"/>
    <mergeCell ref="K50:N50"/>
    <mergeCell ref="O50:S50"/>
    <mergeCell ref="A46:J46"/>
    <mergeCell ref="K46:T46"/>
    <mergeCell ref="A47:J47"/>
    <mergeCell ref="A48:F48"/>
    <mergeCell ref="G48:I48"/>
    <mergeCell ref="K48:P48"/>
    <mergeCell ref="Q48:S48"/>
    <mergeCell ref="A40:J40"/>
    <mergeCell ref="K40:T40"/>
    <mergeCell ref="A41:A45"/>
    <mergeCell ref="C41:J45"/>
    <mergeCell ref="K41:K45"/>
    <mergeCell ref="M41:T45"/>
    <mergeCell ref="A32:J32"/>
    <mergeCell ref="K32:T32"/>
    <mergeCell ref="A33:A39"/>
    <mergeCell ref="C33:G39"/>
    <mergeCell ref="I33:J39"/>
    <mergeCell ref="K33:K39"/>
    <mergeCell ref="M33:Q39"/>
    <mergeCell ref="S33:T39"/>
    <mergeCell ref="A30:J30"/>
    <mergeCell ref="K30:T30"/>
    <mergeCell ref="A31:E31"/>
    <mergeCell ref="F31:I31"/>
    <mergeCell ref="K31:O31"/>
    <mergeCell ref="P31:S31"/>
    <mergeCell ref="A28:J28"/>
    <mergeCell ref="K28:T28"/>
    <mergeCell ref="A29:C29"/>
    <mergeCell ref="D29:I29"/>
    <mergeCell ref="K29:M29"/>
    <mergeCell ref="N29:S29"/>
    <mergeCell ref="A26:J26"/>
    <mergeCell ref="K26:T26"/>
    <mergeCell ref="A27:D27"/>
    <mergeCell ref="E27:I27"/>
    <mergeCell ref="K27:N27"/>
    <mergeCell ref="O27:S27"/>
    <mergeCell ref="A23:J23"/>
    <mergeCell ref="K23:T23"/>
    <mergeCell ref="A24:J24"/>
    <mergeCell ref="A25:F25"/>
    <mergeCell ref="G25:I25"/>
    <mergeCell ref="K25:P25"/>
    <mergeCell ref="Q25:S25"/>
    <mergeCell ref="A17:J17"/>
    <mergeCell ref="K17:T17"/>
    <mergeCell ref="A18:A22"/>
    <mergeCell ref="C18:J22"/>
    <mergeCell ref="K18:K22"/>
    <mergeCell ref="M18:T22"/>
    <mergeCell ref="A9:J9"/>
    <mergeCell ref="K9:T9"/>
    <mergeCell ref="A10:A16"/>
    <mergeCell ref="C10:G16"/>
    <mergeCell ref="I10:J16"/>
    <mergeCell ref="K10:K16"/>
    <mergeCell ref="M10:Q16"/>
    <mergeCell ref="S10:T16"/>
    <mergeCell ref="A7:J7"/>
    <mergeCell ref="K7:T7"/>
    <mergeCell ref="A8:E8"/>
    <mergeCell ref="F8:I8"/>
    <mergeCell ref="K8:O8"/>
    <mergeCell ref="P8:S8"/>
    <mergeCell ref="A1:J1"/>
    <mergeCell ref="K1:S1"/>
    <mergeCell ref="A2:F2"/>
    <mergeCell ref="G2:I2"/>
    <mergeCell ref="K2:P2"/>
    <mergeCell ref="Q2:S2"/>
    <mergeCell ref="A139:J139"/>
    <mergeCell ref="K139:S139"/>
    <mergeCell ref="A140:F140"/>
    <mergeCell ref="G140:I140"/>
    <mergeCell ref="K140:P140"/>
    <mergeCell ref="Q140:S140"/>
    <mergeCell ref="A5:J5"/>
    <mergeCell ref="K5:T5"/>
    <mergeCell ref="A6:C6"/>
    <mergeCell ref="D6:I6"/>
    <mergeCell ref="K6:M6"/>
    <mergeCell ref="N6:S6"/>
    <mergeCell ref="A3:J3"/>
    <mergeCell ref="K3:T3"/>
    <mergeCell ref="A4:D4"/>
    <mergeCell ref="E4:I4"/>
    <mergeCell ref="K4:N4"/>
    <mergeCell ref="O4:S4"/>
    <mergeCell ref="A141:J141"/>
    <mergeCell ref="K141:T141"/>
    <mergeCell ref="A142:D142"/>
    <mergeCell ref="E142:I142"/>
    <mergeCell ref="K142:N142"/>
    <mergeCell ref="O142:S142"/>
    <mergeCell ref="A143:J143"/>
    <mergeCell ref="K143:T143"/>
    <mergeCell ref="A144:C144"/>
    <mergeCell ref="D144:I144"/>
    <mergeCell ref="K144:M144"/>
    <mergeCell ref="N144:S144"/>
    <mergeCell ref="A145:J145"/>
    <mergeCell ref="K145:T145"/>
    <mergeCell ref="A146:E146"/>
    <mergeCell ref="F146:I146"/>
    <mergeCell ref="K146:O146"/>
    <mergeCell ref="P146:S146"/>
    <mergeCell ref="A147:J147"/>
    <mergeCell ref="K147:T147"/>
    <mergeCell ref="A148:A154"/>
    <mergeCell ref="C148:G154"/>
    <mergeCell ref="I148:J154"/>
    <mergeCell ref="K148:K154"/>
    <mergeCell ref="M148:Q154"/>
    <mergeCell ref="S148:T154"/>
    <mergeCell ref="A155:J155"/>
    <mergeCell ref="K155:T155"/>
    <mergeCell ref="A156:A160"/>
    <mergeCell ref="C156:J160"/>
    <mergeCell ref="K156:K160"/>
    <mergeCell ref="M156:T160"/>
    <mergeCell ref="A161:J161"/>
    <mergeCell ref="K161:T161"/>
    <mergeCell ref="A162:J162"/>
    <mergeCell ref="K162:S162"/>
    <mergeCell ref="A163:F163"/>
    <mergeCell ref="G163:I163"/>
    <mergeCell ref="K163:P163"/>
    <mergeCell ref="Q163:S163"/>
    <mergeCell ref="A164:J164"/>
    <mergeCell ref="K164:T164"/>
    <mergeCell ref="A165:D165"/>
    <mergeCell ref="E165:I165"/>
    <mergeCell ref="K165:N165"/>
    <mergeCell ref="O165:S165"/>
    <mergeCell ref="A166:J166"/>
    <mergeCell ref="K166:T166"/>
    <mergeCell ref="A167:C167"/>
    <mergeCell ref="D167:I167"/>
    <mergeCell ref="K167:M167"/>
    <mergeCell ref="N167:S167"/>
    <mergeCell ref="A168:J168"/>
    <mergeCell ref="K168:T168"/>
    <mergeCell ref="A169:E169"/>
    <mergeCell ref="F169:I169"/>
    <mergeCell ref="K169:O169"/>
    <mergeCell ref="P169:S169"/>
    <mergeCell ref="A170:J170"/>
    <mergeCell ref="K170:T170"/>
    <mergeCell ref="A171:A177"/>
    <mergeCell ref="C171:G177"/>
    <mergeCell ref="I171:J177"/>
    <mergeCell ref="K171:K177"/>
    <mergeCell ref="M171:Q177"/>
    <mergeCell ref="S171:T177"/>
    <mergeCell ref="A178:J178"/>
    <mergeCell ref="K178:T178"/>
    <mergeCell ref="A179:A183"/>
    <mergeCell ref="C179:J183"/>
    <mergeCell ref="K179:K183"/>
    <mergeCell ref="M179:T183"/>
    <mergeCell ref="A184:J184"/>
    <mergeCell ref="K184:T184"/>
    <mergeCell ref="A185:J185"/>
    <mergeCell ref="K185:S185"/>
    <mergeCell ref="A186:F186"/>
    <mergeCell ref="G186:I186"/>
    <mergeCell ref="K186:P186"/>
    <mergeCell ref="Q186:S186"/>
    <mergeCell ref="A187:J187"/>
    <mergeCell ref="K187:T187"/>
    <mergeCell ref="A188:D188"/>
    <mergeCell ref="E188:I188"/>
    <mergeCell ref="K188:N188"/>
    <mergeCell ref="O188:S188"/>
    <mergeCell ref="A189:J189"/>
    <mergeCell ref="K189:T189"/>
    <mergeCell ref="A190:C190"/>
    <mergeCell ref="D190:I190"/>
    <mergeCell ref="K190:M190"/>
    <mergeCell ref="N190:S190"/>
    <mergeCell ref="A191:J191"/>
    <mergeCell ref="K191:T191"/>
    <mergeCell ref="A192:E192"/>
    <mergeCell ref="F192:I192"/>
    <mergeCell ref="K192:O192"/>
    <mergeCell ref="P192:S192"/>
    <mergeCell ref="A193:J193"/>
    <mergeCell ref="K193:T193"/>
    <mergeCell ref="A194:A200"/>
    <mergeCell ref="C194:G200"/>
    <mergeCell ref="I194:J200"/>
    <mergeCell ref="K194:K200"/>
    <mergeCell ref="M194:Q200"/>
    <mergeCell ref="S194:T200"/>
    <mergeCell ref="A201:J201"/>
    <mergeCell ref="K201:T201"/>
    <mergeCell ref="A202:A206"/>
    <mergeCell ref="C202:J206"/>
    <mergeCell ref="K202:K206"/>
    <mergeCell ref="M202:T206"/>
    <mergeCell ref="A207:J207"/>
    <mergeCell ref="K207:T207"/>
    <mergeCell ref="A208:J208"/>
    <mergeCell ref="K208:S208"/>
    <mergeCell ref="A209:F209"/>
    <mergeCell ref="G209:I209"/>
    <mergeCell ref="K209:P209"/>
    <mergeCell ref="Q209:S209"/>
    <mergeCell ref="A210:J210"/>
    <mergeCell ref="K210:T210"/>
    <mergeCell ref="A211:D211"/>
    <mergeCell ref="E211:I211"/>
    <mergeCell ref="K211:N211"/>
    <mergeCell ref="O211:S211"/>
    <mergeCell ref="A212:J212"/>
    <mergeCell ref="K212:T212"/>
    <mergeCell ref="A213:C213"/>
    <mergeCell ref="D213:I213"/>
    <mergeCell ref="K213:M213"/>
    <mergeCell ref="N213:S213"/>
    <mergeCell ref="A214:J214"/>
    <mergeCell ref="K214:T214"/>
    <mergeCell ref="A215:E215"/>
    <mergeCell ref="F215:I215"/>
    <mergeCell ref="K215:O215"/>
    <mergeCell ref="P215:S215"/>
    <mergeCell ref="A225:A229"/>
    <mergeCell ref="C225:J229"/>
    <mergeCell ref="K225:K229"/>
    <mergeCell ref="M225:T229"/>
    <mergeCell ref="A230:J230"/>
    <mergeCell ref="K230:T230"/>
    <mergeCell ref="A216:J216"/>
    <mergeCell ref="K216:T216"/>
    <mergeCell ref="A217:A223"/>
    <mergeCell ref="C217:G223"/>
    <mergeCell ref="I217:J223"/>
    <mergeCell ref="K217:K223"/>
    <mergeCell ref="M217:Q223"/>
    <mergeCell ref="S217:T223"/>
    <mergeCell ref="A224:J224"/>
    <mergeCell ref="K224:T224"/>
  </mergeCells>
  <pageMargins left="0.25" right="0.25" top="0.75" bottom="0.75" header="0.3" footer="0.3"/>
  <pageSetup paperSize="9" scale="95" orientation="portrait" horizontalDpi="0" verticalDpi="0"/>
  <rowBreaks count="5" manualBreakCount="5">
    <brk id="46" max="16383" man="1"/>
    <brk id="92" max="16383" man="1"/>
    <brk id="138" max="16383" man="1"/>
    <brk id="184" max="16383" man="1"/>
    <brk id="230" max="16383" man="1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W523"/>
  <sheetViews>
    <sheetView view="pageBreakPreview" topLeftCell="A70" zoomScaleNormal="115" zoomScaleSheetLayoutView="100" workbookViewId="0">
      <selection activeCell="T67" activeCellId="3" sqref="B1:B1048576 D1:J1048576 M1:M1048576 O1:U1048576"/>
    </sheetView>
  </sheetViews>
  <sheetFormatPr baseColWidth="10" defaultColWidth="8.83203125" defaultRowHeight="15"/>
  <cols>
    <col min="1" max="1" width="4.83203125" customWidth="1"/>
    <col min="2" max="2" width="1.33203125" style="54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54" customWidth="1"/>
    <col min="10" max="10" width="16.5" customWidth="1"/>
    <col min="11" max="11" width="2.5" customWidth="1"/>
    <col min="12" max="12" width="4.6640625" style="5" customWidth="1"/>
    <col min="13" max="13" width="1.33203125" style="54" customWidth="1"/>
    <col min="14" max="14" width="2.33203125" style="5" customWidth="1"/>
    <col min="15" max="15" width="3.5" style="5" customWidth="1"/>
    <col min="16" max="16" width="3.33203125" style="5" customWidth="1"/>
    <col min="17" max="17" width="6" style="5" customWidth="1"/>
    <col min="18" max="18" width="1.5" style="5" customWidth="1"/>
    <col min="19" max="19" width="4.5" style="5" customWidth="1"/>
    <col min="20" max="20" width="1.33203125" style="54" customWidth="1"/>
    <col min="21" max="21" width="16.33203125" style="5" customWidth="1"/>
    <col min="22" max="22" width="2.5" customWidth="1"/>
  </cols>
  <sheetData>
    <row r="1" spans="1:22" ht="61" customHeight="1">
      <c r="A1" s="8"/>
      <c r="C1" s="8"/>
      <c r="D1" s="8"/>
      <c r="E1" s="8"/>
      <c r="F1" s="8"/>
      <c r="G1" s="8"/>
      <c r="H1" s="8"/>
      <c r="J1" s="8"/>
      <c r="K1" s="8"/>
      <c r="L1" s="43"/>
      <c r="N1" s="43"/>
      <c r="O1" s="43"/>
      <c r="P1" s="43"/>
      <c r="Q1" s="43"/>
      <c r="R1" s="43"/>
      <c r="S1" s="43"/>
      <c r="U1" s="43"/>
      <c r="V1" s="8"/>
    </row>
    <row r="2" spans="1:22" ht="12" customHeight="1">
      <c r="A2" s="8"/>
      <c r="C2" s="8"/>
      <c r="D2" s="8"/>
      <c r="E2" s="8"/>
      <c r="F2" s="8"/>
      <c r="G2" s="8"/>
      <c r="H2" s="155">
        <f>Bozza!$C$7</f>
        <v>0</v>
      </c>
      <c r="I2" s="155"/>
      <c r="J2" s="155"/>
      <c r="K2" s="8"/>
      <c r="L2" s="43"/>
      <c r="N2" s="43"/>
      <c r="O2" s="43"/>
      <c r="P2" s="43"/>
      <c r="Q2" s="43"/>
      <c r="R2" s="43"/>
      <c r="S2" s="155">
        <f>Bozza!$F$7</f>
        <v>0</v>
      </c>
      <c r="T2" s="155"/>
      <c r="U2" s="155"/>
      <c r="V2" s="8"/>
    </row>
    <row r="3" spans="1:22" ht="11.25" customHeight="1">
      <c r="A3" s="8"/>
      <c r="C3" s="8"/>
      <c r="D3" s="8"/>
      <c r="E3" s="8"/>
      <c r="F3" s="8"/>
      <c r="G3" s="8"/>
      <c r="H3" s="8"/>
      <c r="J3" s="8"/>
      <c r="K3" s="8"/>
      <c r="L3" s="43"/>
      <c r="N3" s="43"/>
      <c r="O3" s="43"/>
      <c r="P3" s="43"/>
      <c r="Q3" s="43"/>
      <c r="R3" s="43"/>
      <c r="S3" s="43"/>
      <c r="U3" s="43"/>
      <c r="V3" s="8"/>
    </row>
    <row r="4" spans="1:22" ht="15" customHeight="1">
      <c r="A4" s="8"/>
      <c r="C4" s="8"/>
      <c r="D4" s="8"/>
      <c r="E4" s="8"/>
      <c r="F4" s="155"/>
      <c r="G4" s="155"/>
      <c r="H4" s="155"/>
      <c r="I4" s="155"/>
      <c r="J4" s="155"/>
      <c r="K4" s="8"/>
      <c r="L4" s="43"/>
      <c r="N4" s="43"/>
      <c r="O4" s="43"/>
      <c r="P4" s="43"/>
      <c r="Q4" s="156"/>
      <c r="R4" s="156"/>
      <c r="S4" s="156"/>
      <c r="T4" s="156"/>
      <c r="U4" s="156"/>
      <c r="V4" s="8"/>
    </row>
    <row r="5" spans="1:22" ht="11.25" customHeight="1">
      <c r="A5" s="8"/>
      <c r="C5" s="8"/>
      <c r="D5" s="8"/>
      <c r="E5" s="8"/>
      <c r="F5" s="8"/>
      <c r="G5" s="8"/>
      <c r="H5" s="8"/>
      <c r="J5" s="8"/>
      <c r="K5" s="8"/>
      <c r="L5" s="43"/>
      <c r="N5" s="43"/>
      <c r="O5" s="43"/>
      <c r="P5" s="43"/>
      <c r="Q5" s="43"/>
      <c r="R5" s="43"/>
      <c r="S5" s="43"/>
      <c r="U5" s="43"/>
      <c r="V5" s="8"/>
    </row>
    <row r="6" spans="1:22" ht="17" customHeight="1">
      <c r="A6" s="8"/>
      <c r="C6" s="8"/>
      <c r="D6" s="157">
        <f>Bozza!$H$1</f>
        <v>0</v>
      </c>
      <c r="E6" s="157"/>
      <c r="F6" s="157"/>
      <c r="G6" s="157"/>
      <c r="H6" s="157"/>
      <c r="I6" s="157"/>
      <c r="J6" s="157"/>
      <c r="K6" s="8"/>
      <c r="L6" s="43"/>
      <c r="N6" s="43"/>
      <c r="O6" s="157">
        <f>D6</f>
        <v>0</v>
      </c>
      <c r="P6" s="157"/>
      <c r="Q6" s="157"/>
      <c r="R6" s="157"/>
      <c r="S6" s="157"/>
      <c r="T6" s="157"/>
      <c r="U6" s="157"/>
      <c r="V6" s="8"/>
    </row>
    <row r="7" spans="1:22" ht="13.5" customHeight="1">
      <c r="A7" s="8"/>
      <c r="C7" s="8"/>
      <c r="D7" s="8"/>
      <c r="E7" s="8"/>
      <c r="F7" s="8"/>
      <c r="G7" s="8"/>
      <c r="H7" s="8"/>
      <c r="J7" s="8"/>
      <c r="K7" s="8"/>
      <c r="L7" s="43"/>
      <c r="N7" s="43"/>
      <c r="O7" s="43"/>
      <c r="P7" s="43"/>
      <c r="Q7" s="43"/>
      <c r="R7" s="43"/>
      <c r="S7" s="43"/>
      <c r="U7" s="43"/>
      <c r="V7" s="8"/>
    </row>
    <row r="8" spans="1:22" ht="15" customHeight="1">
      <c r="A8" s="8"/>
      <c r="C8" s="8"/>
      <c r="D8" s="8"/>
      <c r="E8" s="8"/>
      <c r="F8" s="8"/>
      <c r="G8" s="156">
        <f>Bozza!$E$7</f>
        <v>0</v>
      </c>
      <c r="H8" s="156"/>
      <c r="I8" s="156"/>
      <c r="J8" s="156"/>
      <c r="K8" s="8"/>
      <c r="L8" s="43"/>
      <c r="N8" s="43"/>
      <c r="O8" s="43"/>
      <c r="P8" s="43"/>
      <c r="Q8" s="43"/>
      <c r="R8" s="156">
        <f>Bozza!$H$7</f>
        <v>0</v>
      </c>
      <c r="S8" s="156"/>
      <c r="T8" s="156"/>
      <c r="U8" s="156"/>
      <c r="V8" s="8"/>
    </row>
    <row r="9" spans="1:22" ht="34" customHeight="1">
      <c r="A9" s="8"/>
      <c r="C9" s="8"/>
      <c r="D9" s="8"/>
      <c r="E9" s="8"/>
      <c r="F9" s="8"/>
      <c r="G9" s="8"/>
      <c r="H9" s="8"/>
      <c r="J9" s="8"/>
      <c r="K9" s="8"/>
      <c r="L9" s="43"/>
      <c r="N9" s="43"/>
      <c r="O9" s="43"/>
      <c r="P9" s="43"/>
      <c r="Q9" s="43"/>
      <c r="R9" s="43"/>
      <c r="S9" s="43"/>
      <c r="U9" s="43"/>
      <c r="V9" s="8"/>
    </row>
    <row r="10" spans="1:22" ht="6.75" customHeight="1">
      <c r="A10" s="8"/>
      <c r="B10" s="50" t="str">
        <f>IF(Bozza!$A$7 = "Lettura biblica", "X", "")</f>
        <v/>
      </c>
      <c r="C10" s="8"/>
      <c r="D10" s="8"/>
      <c r="E10" s="8"/>
      <c r="F10" s="8"/>
      <c r="G10" s="8"/>
      <c r="H10" s="8"/>
      <c r="I10" s="50" t="str">
        <f>IF(Bozza!$A$7 = "Terza visita ulteriore", "X", "")</f>
        <v/>
      </c>
      <c r="J10" s="8"/>
      <c r="K10" s="8"/>
      <c r="L10" s="43"/>
      <c r="M10" s="50" t="str">
        <f>IF(Bozza!$A$7 = "Lettura biblica", "X", "")</f>
        <v/>
      </c>
      <c r="N10" s="8"/>
      <c r="O10" s="8"/>
      <c r="P10" s="8"/>
      <c r="Q10" s="8"/>
      <c r="R10" s="8"/>
      <c r="S10" s="8"/>
      <c r="T10" s="50" t="str">
        <f>IF(Bozza!$A$7 = "Terza visita ulteriore", "X", "")</f>
        <v/>
      </c>
      <c r="U10" s="43"/>
      <c r="V10" s="8"/>
    </row>
    <row r="11" spans="1:22" ht="6.75" customHeight="1">
      <c r="A11" s="8"/>
      <c r="B11" s="50"/>
      <c r="C11" s="8"/>
      <c r="D11" s="8"/>
      <c r="E11" s="8"/>
      <c r="F11" s="8"/>
      <c r="G11" s="8"/>
      <c r="H11" s="8"/>
      <c r="I11" s="50"/>
      <c r="J11" s="8"/>
      <c r="K11" s="8"/>
      <c r="L11" s="43"/>
      <c r="M11" s="50"/>
      <c r="N11" s="8"/>
      <c r="O11" s="8"/>
      <c r="P11" s="8"/>
      <c r="Q11" s="8"/>
      <c r="R11" s="8"/>
      <c r="S11" s="8"/>
      <c r="T11" s="50"/>
      <c r="U11" s="43"/>
      <c r="V11" s="8"/>
    </row>
    <row r="12" spans="1:22" ht="8" customHeight="1">
      <c r="A12" s="8"/>
      <c r="B12" s="50" t="str">
        <f>IF(Bozza!$A$7 = "Primo contatto", "X", "")</f>
        <v/>
      </c>
      <c r="C12" s="8"/>
      <c r="D12" s="8"/>
      <c r="E12" s="8"/>
      <c r="F12" s="8"/>
      <c r="G12" s="8"/>
      <c r="H12" s="8"/>
      <c r="I12" s="50" t="str">
        <f>IF(Bozza!$A$7 = "Studio biblico", "X", "")</f>
        <v/>
      </c>
      <c r="J12" s="8"/>
      <c r="K12" s="8"/>
      <c r="L12" s="43"/>
      <c r="M12" s="50" t="str">
        <f>IF(Bozza!$A$7 = "Primo contatto", "X", "")</f>
        <v/>
      </c>
      <c r="N12" s="8"/>
      <c r="O12" s="8"/>
      <c r="P12" s="8"/>
      <c r="Q12" s="8"/>
      <c r="R12" s="8"/>
      <c r="S12" s="8"/>
      <c r="T12" s="50" t="str">
        <f>IF(Bozza!$A$7 = "Studio biblico", "X", "")</f>
        <v/>
      </c>
      <c r="U12" s="43"/>
      <c r="V12" s="8"/>
    </row>
    <row r="13" spans="1:22" ht="6.75" customHeight="1">
      <c r="A13" s="8"/>
      <c r="B13" s="50"/>
      <c r="C13" s="8"/>
      <c r="D13" s="8"/>
      <c r="E13" s="8"/>
      <c r="F13" s="8"/>
      <c r="G13" s="8"/>
      <c r="H13" s="8"/>
      <c r="I13" s="50"/>
      <c r="J13" s="8"/>
      <c r="K13" s="8"/>
      <c r="L13" s="43"/>
      <c r="M13" s="50"/>
      <c r="N13" s="8"/>
      <c r="O13" s="8"/>
      <c r="P13" s="8"/>
      <c r="Q13" s="8"/>
      <c r="R13" s="8"/>
      <c r="S13" s="8"/>
      <c r="T13" s="50"/>
      <c r="U13" s="43"/>
      <c r="V13" s="8"/>
    </row>
    <row r="14" spans="1:22" ht="7" customHeight="1">
      <c r="A14" s="8"/>
      <c r="B14" s="50" t="str">
        <f>IF(Bozza!$A$7 = "Prima visita ulteriore", "X", "")</f>
        <v/>
      </c>
      <c r="C14" s="8"/>
      <c r="D14" s="8"/>
      <c r="E14" s="8"/>
      <c r="F14" s="8"/>
      <c r="G14" s="8"/>
      <c r="H14" s="8"/>
      <c r="I14" s="50" t="str">
        <f>IF(Bozza!$A$7 = "Discorso", "X", "")</f>
        <v/>
      </c>
      <c r="J14" s="8"/>
      <c r="K14" s="8"/>
      <c r="L14" s="43"/>
      <c r="M14" s="50" t="str">
        <f>IF(Bozza!$A$7 = "Prima visita ulteriore", "X", "")</f>
        <v/>
      </c>
      <c r="N14" s="8"/>
      <c r="O14" s="8"/>
      <c r="P14" s="8"/>
      <c r="Q14" s="8"/>
      <c r="R14" s="8"/>
      <c r="S14" s="8"/>
      <c r="T14" s="50" t="str">
        <f>IF(Bozza!$A$7 = "Discorso", "X", "")</f>
        <v/>
      </c>
      <c r="U14" s="43"/>
      <c r="V14" s="8"/>
    </row>
    <row r="15" spans="1:22" ht="6" customHeight="1">
      <c r="A15" s="8"/>
      <c r="B15" s="50"/>
      <c r="C15" s="8"/>
      <c r="D15" s="8"/>
      <c r="E15" s="8"/>
      <c r="F15" s="8"/>
      <c r="G15" s="8"/>
      <c r="H15" s="8"/>
      <c r="I15" s="50"/>
      <c r="J15" s="8"/>
      <c r="K15" s="8"/>
      <c r="L15" s="43"/>
      <c r="M15" s="50"/>
      <c r="N15" s="8"/>
      <c r="O15" s="8"/>
      <c r="P15" s="8"/>
      <c r="Q15" s="8"/>
      <c r="R15" s="8"/>
      <c r="S15" s="8"/>
      <c r="T15" s="50"/>
      <c r="U15" s="43"/>
      <c r="V15" s="8"/>
    </row>
    <row r="16" spans="1:22" ht="7.5" customHeight="1">
      <c r="A16" s="8"/>
      <c r="B16" s="50" t="str">
        <f>IF(Bozza!$A$7 = "Seconda visita ulteriore", "X", "")</f>
        <v/>
      </c>
      <c r="C16" s="8"/>
      <c r="D16" s="8"/>
      <c r="E16" s="8"/>
      <c r="F16" s="8"/>
      <c r="G16" s="8"/>
      <c r="H16" s="8"/>
      <c r="I16" s="50"/>
      <c r="J16" s="8"/>
      <c r="K16" s="8"/>
      <c r="L16" s="43"/>
      <c r="M16" s="50" t="str">
        <f>IF(Bozza!$A$7 = "Seconda visita ulteriore", "X", "")</f>
        <v/>
      </c>
      <c r="N16" s="8"/>
      <c r="O16" s="8"/>
      <c r="P16" s="8"/>
      <c r="Q16" s="8"/>
      <c r="R16" s="8"/>
      <c r="S16" s="8"/>
      <c r="T16" s="50"/>
      <c r="U16" s="43"/>
      <c r="V16" s="8"/>
    </row>
    <row r="17" spans="1:22" ht="24" customHeight="1">
      <c r="A17" s="8"/>
      <c r="C17" s="8"/>
      <c r="D17" s="8"/>
      <c r="E17" s="8"/>
      <c r="F17" s="8"/>
      <c r="G17" s="8"/>
      <c r="H17" s="8"/>
      <c r="J17" s="8"/>
      <c r="K17" s="8"/>
      <c r="L17" s="43"/>
      <c r="N17" s="43"/>
      <c r="O17" s="43"/>
      <c r="P17" s="43"/>
      <c r="Q17" s="43"/>
      <c r="R17" s="43"/>
      <c r="S17" s="43"/>
      <c r="U17" s="43"/>
      <c r="V17" s="8"/>
    </row>
    <row r="18" spans="1:22" ht="6" customHeight="1">
      <c r="A18" s="8"/>
      <c r="B18" s="54" t="s">
        <v>16</v>
      </c>
      <c r="C18" s="8"/>
      <c r="D18" s="8"/>
      <c r="E18" s="155"/>
      <c r="F18" s="155"/>
      <c r="G18" s="155"/>
      <c r="H18" s="155"/>
      <c r="J18" s="8"/>
      <c r="K18" s="8"/>
      <c r="L18" s="49"/>
      <c r="N18" s="49"/>
      <c r="O18" s="49"/>
      <c r="P18" s="156"/>
      <c r="Q18" s="156"/>
      <c r="R18" s="156"/>
      <c r="S18" s="156"/>
      <c r="U18" s="49"/>
      <c r="V18" s="8"/>
    </row>
    <row r="19" spans="1:22" s="8" customFormat="1" ht="6" customHeight="1">
      <c r="B19" s="54"/>
      <c r="E19" s="48"/>
      <c r="F19" s="48"/>
      <c r="G19" s="48"/>
      <c r="H19" s="48"/>
      <c r="I19" s="54"/>
      <c r="L19" s="49"/>
      <c r="M19" s="54"/>
      <c r="N19" s="49"/>
      <c r="O19" s="49"/>
      <c r="P19" s="49"/>
      <c r="Q19" s="49"/>
      <c r="R19" s="49"/>
      <c r="S19" s="49"/>
      <c r="T19" s="54"/>
      <c r="U19" s="49"/>
    </row>
    <row r="20" spans="1:22" s="8" customFormat="1" ht="8" customHeight="1">
      <c r="B20" s="54"/>
      <c r="E20" s="48"/>
      <c r="F20" s="48"/>
      <c r="G20" s="48"/>
      <c r="H20" s="48"/>
      <c r="I20" s="54"/>
      <c r="L20" s="49"/>
      <c r="M20" s="54" t="s">
        <v>16</v>
      </c>
      <c r="N20" s="49"/>
      <c r="O20" s="49"/>
      <c r="P20" s="49"/>
      <c r="Q20" s="49"/>
      <c r="R20" s="49"/>
      <c r="S20" s="49"/>
      <c r="T20" s="54"/>
      <c r="U20" s="49"/>
    </row>
    <row r="21" spans="1:22" s="8" customFormat="1" ht="6" customHeight="1">
      <c r="B21" s="54"/>
      <c r="E21" s="45"/>
      <c r="F21" s="45"/>
      <c r="G21" s="45"/>
      <c r="H21" s="45"/>
      <c r="I21" s="54"/>
      <c r="L21" s="46"/>
      <c r="M21" s="54"/>
      <c r="N21" s="46"/>
      <c r="O21" s="46"/>
      <c r="P21" s="46"/>
      <c r="Q21" s="46"/>
      <c r="R21" s="46"/>
      <c r="S21" s="46"/>
      <c r="T21" s="54"/>
      <c r="U21" s="46"/>
    </row>
    <row r="22" spans="1:22" s="8" customFormat="1" ht="6" customHeight="1">
      <c r="B22" s="54"/>
      <c r="E22" s="45"/>
      <c r="F22" s="45"/>
      <c r="G22" s="45"/>
      <c r="H22" s="45"/>
      <c r="I22" s="54"/>
      <c r="L22" s="46"/>
      <c r="M22" s="54"/>
      <c r="N22" s="46"/>
      <c r="O22" s="46"/>
      <c r="P22" s="46"/>
      <c r="Q22" s="46"/>
      <c r="R22" s="46"/>
      <c r="S22" s="46"/>
      <c r="T22" s="54"/>
      <c r="U22" s="46"/>
    </row>
    <row r="23" spans="1:22" s="8" customFormat="1" ht="6" customHeight="1">
      <c r="B23" s="54"/>
      <c r="E23" s="45"/>
      <c r="F23" s="45"/>
      <c r="G23" s="45"/>
      <c r="H23" s="45"/>
      <c r="I23" s="54"/>
      <c r="L23" s="46"/>
      <c r="M23" s="54"/>
      <c r="N23" s="46"/>
      <c r="O23" s="46"/>
      <c r="P23" s="46"/>
      <c r="Q23" s="46"/>
      <c r="R23" s="46"/>
      <c r="S23" s="46"/>
      <c r="T23" s="54"/>
      <c r="U23" s="46"/>
    </row>
    <row r="24" spans="1:22" ht="82" customHeight="1">
      <c r="A24" s="8"/>
      <c r="C24" s="8"/>
      <c r="D24" s="8"/>
      <c r="E24" s="8"/>
      <c r="F24" s="8"/>
      <c r="G24" s="8"/>
      <c r="H24" s="8"/>
      <c r="J24" s="8"/>
      <c r="K24" s="8"/>
      <c r="L24" s="43"/>
      <c r="N24" s="43"/>
      <c r="O24" s="43"/>
      <c r="P24" s="43"/>
      <c r="Q24" s="43"/>
      <c r="R24" s="43"/>
      <c r="S24" s="43"/>
      <c r="U24" s="43"/>
      <c r="V24" s="8"/>
    </row>
    <row r="25" spans="1:22" ht="68" customHeight="1">
      <c r="A25" s="8"/>
      <c r="C25" s="8"/>
      <c r="D25" s="8"/>
      <c r="E25" s="8"/>
      <c r="F25" s="8"/>
      <c r="G25" s="8"/>
      <c r="H25" s="8"/>
      <c r="J25" s="8"/>
      <c r="K25" s="8"/>
      <c r="L25" s="43"/>
      <c r="N25" s="43"/>
      <c r="O25" s="43"/>
      <c r="P25" s="43"/>
      <c r="Q25" s="43"/>
      <c r="R25" s="43"/>
      <c r="S25" s="43"/>
      <c r="U25" s="43"/>
      <c r="V25" s="8"/>
    </row>
    <row r="26" spans="1:22" ht="12" customHeight="1">
      <c r="A26" s="8"/>
      <c r="C26" s="8"/>
      <c r="D26" s="8"/>
      <c r="E26" s="8"/>
      <c r="F26" s="8"/>
      <c r="G26" s="8"/>
      <c r="H26" s="155">
        <f>Bozza!$C$9</f>
        <v>0</v>
      </c>
      <c r="I26" s="155"/>
      <c r="J26" s="155"/>
      <c r="K26" s="8"/>
      <c r="L26" s="43"/>
      <c r="N26" s="43"/>
      <c r="O26" s="43"/>
      <c r="P26" s="43"/>
      <c r="Q26" s="43"/>
      <c r="R26" s="43"/>
      <c r="S26" s="158">
        <f>Bozza!$F$9</f>
        <v>0</v>
      </c>
      <c r="T26" s="158"/>
      <c r="U26" s="158"/>
      <c r="V26" s="8"/>
    </row>
    <row r="27" spans="1:22" ht="11.25" customHeight="1">
      <c r="A27" s="8"/>
      <c r="C27" s="8"/>
      <c r="D27" s="8"/>
      <c r="E27" s="8"/>
      <c r="F27" s="8"/>
      <c r="G27" s="8"/>
      <c r="H27" s="8"/>
      <c r="J27" s="8"/>
      <c r="K27" s="8"/>
      <c r="L27" s="43"/>
      <c r="N27" s="43"/>
      <c r="O27" s="43"/>
      <c r="P27" s="43"/>
      <c r="Q27" s="43"/>
      <c r="R27" s="43"/>
      <c r="S27" s="43"/>
      <c r="U27" s="43"/>
      <c r="V27" s="8"/>
    </row>
    <row r="28" spans="1:22" ht="16" customHeight="1">
      <c r="A28" s="8"/>
      <c r="C28" s="8"/>
      <c r="D28" s="8"/>
      <c r="E28" s="8"/>
      <c r="F28" s="155">
        <f>Bozza!$C$10</f>
        <v>0</v>
      </c>
      <c r="G28" s="155"/>
      <c r="H28" s="155"/>
      <c r="I28" s="155"/>
      <c r="J28" s="155"/>
      <c r="K28" s="8"/>
      <c r="L28" s="43"/>
      <c r="N28" s="43"/>
      <c r="O28" s="43"/>
      <c r="P28" s="43"/>
      <c r="Q28" s="158">
        <f>Bozza!$F$10</f>
        <v>0</v>
      </c>
      <c r="R28" s="158"/>
      <c r="S28" s="158"/>
      <c r="T28" s="158"/>
      <c r="U28" s="158"/>
      <c r="V28" s="8"/>
    </row>
    <row r="29" spans="1:22" ht="11.25" customHeight="1">
      <c r="A29" s="8"/>
      <c r="C29" s="8"/>
      <c r="D29" s="8"/>
      <c r="E29" s="8"/>
      <c r="F29" s="8"/>
      <c r="G29" s="8"/>
      <c r="H29" s="8"/>
      <c r="J29" s="8"/>
      <c r="K29" s="8"/>
      <c r="L29" s="43"/>
      <c r="N29" s="43"/>
      <c r="O29" s="43"/>
      <c r="P29" s="43"/>
      <c r="Q29" s="43"/>
      <c r="R29" s="43"/>
      <c r="S29" s="43"/>
      <c r="U29" s="43"/>
      <c r="V29" s="8"/>
    </row>
    <row r="30" spans="1:22" ht="16" customHeight="1">
      <c r="A30" s="8"/>
      <c r="C30" s="8"/>
      <c r="D30" s="157">
        <f>D6</f>
        <v>0</v>
      </c>
      <c r="E30" s="157"/>
      <c r="F30" s="157"/>
      <c r="G30" s="157"/>
      <c r="H30" s="157"/>
      <c r="I30" s="157"/>
      <c r="J30" s="157"/>
      <c r="K30" s="8"/>
      <c r="L30" s="43"/>
      <c r="N30" s="43"/>
      <c r="O30" s="157">
        <f>D30</f>
        <v>0</v>
      </c>
      <c r="P30" s="157"/>
      <c r="Q30" s="157"/>
      <c r="R30" s="157"/>
      <c r="S30" s="157"/>
      <c r="T30" s="157"/>
      <c r="U30" s="157"/>
      <c r="V30" s="8"/>
    </row>
    <row r="31" spans="1:22" ht="13.5" customHeight="1">
      <c r="A31" s="8"/>
      <c r="C31" s="8"/>
      <c r="D31" s="8"/>
      <c r="E31" s="8"/>
      <c r="F31" s="8"/>
      <c r="G31" s="8"/>
      <c r="H31" s="8"/>
      <c r="J31" s="8"/>
      <c r="K31" s="8"/>
      <c r="L31" s="43"/>
      <c r="N31" s="43"/>
      <c r="O31" s="43"/>
      <c r="P31" s="43"/>
      <c r="Q31" s="43"/>
      <c r="R31" s="43"/>
      <c r="S31" s="43"/>
      <c r="U31" s="43"/>
      <c r="V31" s="8"/>
    </row>
    <row r="32" spans="1:22" ht="15" customHeight="1">
      <c r="A32" s="8"/>
      <c r="C32" s="8"/>
      <c r="D32" s="8"/>
      <c r="E32" s="8"/>
      <c r="F32" s="8"/>
      <c r="G32" s="156">
        <f>Bozza!$E$9</f>
        <v>0</v>
      </c>
      <c r="H32" s="156"/>
      <c r="I32" s="156"/>
      <c r="J32" s="156"/>
      <c r="K32" s="8"/>
      <c r="L32" s="43"/>
      <c r="N32" s="43"/>
      <c r="O32" s="43"/>
      <c r="P32" s="43"/>
      <c r="Q32" s="43"/>
      <c r="R32" s="156">
        <f>Bozza!$H$9</f>
        <v>0</v>
      </c>
      <c r="S32" s="156"/>
      <c r="T32" s="156"/>
      <c r="U32" s="156"/>
      <c r="V32" s="8"/>
    </row>
    <row r="33" spans="1:23" ht="34" customHeight="1">
      <c r="A33" s="8"/>
      <c r="C33" s="8"/>
      <c r="D33" s="8"/>
      <c r="E33" s="8"/>
      <c r="F33" s="8"/>
      <c r="G33" s="8"/>
      <c r="H33" s="8"/>
      <c r="J33" s="8"/>
      <c r="K33" s="8"/>
      <c r="L33" s="43"/>
      <c r="N33" s="43"/>
      <c r="O33" s="43"/>
      <c r="P33" s="43"/>
      <c r="Q33" s="43"/>
      <c r="R33" s="43"/>
      <c r="S33" s="43"/>
      <c r="U33" s="43"/>
      <c r="V33" s="8"/>
    </row>
    <row r="34" spans="1:23" ht="6" customHeight="1">
      <c r="A34" s="8"/>
      <c r="B34" s="50" t="str">
        <f>IF(Bozza!$A$9 = "Lettura biblica", "X", "")</f>
        <v/>
      </c>
      <c r="C34" s="8"/>
      <c r="D34" s="8"/>
      <c r="E34" s="8"/>
      <c r="F34" s="8"/>
      <c r="G34" s="8"/>
      <c r="H34" s="8"/>
      <c r="I34" s="50" t="str">
        <f>IF(Bozza!$A$9 = "Terza visita ulteriore", "X", "")</f>
        <v/>
      </c>
      <c r="J34" s="8"/>
      <c r="K34" s="8"/>
      <c r="L34" s="43"/>
      <c r="M34" s="50" t="str">
        <f>IF(Bozza!$A$9 = "Lettura biblica", "X", "")</f>
        <v/>
      </c>
      <c r="N34" s="8"/>
      <c r="O34" s="8"/>
      <c r="P34" s="8"/>
      <c r="Q34" s="8"/>
      <c r="R34" s="8"/>
      <c r="S34" s="8"/>
      <c r="T34" s="50" t="str">
        <f>IF(Bozza!$A$9 = "Terza visita ulteriore", "X", "")</f>
        <v/>
      </c>
      <c r="U34" s="43"/>
      <c r="V34" s="8"/>
    </row>
    <row r="35" spans="1:23" ht="6.75" customHeight="1">
      <c r="A35" s="8"/>
      <c r="B35" s="50"/>
      <c r="C35" s="8"/>
      <c r="D35" s="8"/>
      <c r="E35" s="8"/>
      <c r="F35" s="8"/>
      <c r="G35" s="8"/>
      <c r="H35" s="8"/>
      <c r="I35" s="50"/>
      <c r="J35" s="8"/>
      <c r="K35" s="8"/>
      <c r="L35" s="43"/>
      <c r="M35" s="50"/>
      <c r="N35" s="8"/>
      <c r="O35" s="8"/>
      <c r="P35" s="8"/>
      <c r="Q35" s="8"/>
      <c r="R35" s="8"/>
      <c r="S35" s="8"/>
      <c r="T35" s="50"/>
      <c r="U35" s="43"/>
      <c r="V35" s="8"/>
    </row>
    <row r="36" spans="1:23" ht="7" customHeight="1">
      <c r="A36" s="8"/>
      <c r="B36" s="50" t="str">
        <f>IF(Bozza!$A$9 = "Primo contatto", "X", "")</f>
        <v/>
      </c>
      <c r="C36" s="8"/>
      <c r="D36" s="8"/>
      <c r="E36" s="8"/>
      <c r="F36" s="8"/>
      <c r="G36" s="8"/>
      <c r="H36" s="8"/>
      <c r="I36" s="50" t="str">
        <f>IF(Bozza!$A$9 = "Studio biblico", "X", "")</f>
        <v/>
      </c>
      <c r="J36" s="8"/>
      <c r="K36" s="8"/>
      <c r="L36" s="43"/>
      <c r="M36" s="50" t="str">
        <f>IF(Bozza!$A$9 = "Primo contatto", "X", "")</f>
        <v/>
      </c>
      <c r="N36" s="8"/>
      <c r="O36" s="8"/>
      <c r="P36" s="8"/>
      <c r="Q36" s="8"/>
      <c r="R36" s="8"/>
      <c r="S36" s="8"/>
      <c r="T36" s="50" t="str">
        <f>IF(Bozza!$A$9 = "Studio biblico", "X", "")</f>
        <v/>
      </c>
      <c r="U36" s="43"/>
      <c r="V36" s="8"/>
    </row>
    <row r="37" spans="1:23" ht="7.5" customHeight="1">
      <c r="A37" s="8"/>
      <c r="B37" s="50"/>
      <c r="C37" s="8"/>
      <c r="D37" s="8"/>
      <c r="E37" s="8"/>
      <c r="F37" s="8"/>
      <c r="G37" s="8"/>
      <c r="H37" s="8"/>
      <c r="I37" s="50"/>
      <c r="J37" s="8"/>
      <c r="K37" s="8"/>
      <c r="L37" s="43"/>
      <c r="M37" s="50"/>
      <c r="N37" s="8"/>
      <c r="O37" s="8"/>
      <c r="P37" s="8"/>
      <c r="Q37" s="8"/>
      <c r="R37" s="8"/>
      <c r="S37" s="8"/>
      <c r="T37" s="50"/>
      <c r="U37" s="43"/>
      <c r="V37" s="8"/>
    </row>
    <row r="38" spans="1:23" ht="6" customHeight="1">
      <c r="A38" s="8"/>
      <c r="B38" s="50" t="str">
        <f>IF(Bozza!$A$9 = "Prima visita ulteriore", "X", "")</f>
        <v/>
      </c>
      <c r="C38" s="8"/>
      <c r="D38" s="8"/>
      <c r="E38" s="8"/>
      <c r="F38" s="8"/>
      <c r="G38" s="8"/>
      <c r="H38" s="8"/>
      <c r="I38" s="50" t="str">
        <f>IF(Bozza!$A$9 = "Discorso", "X", "")</f>
        <v/>
      </c>
      <c r="J38" s="8"/>
      <c r="K38" s="8"/>
      <c r="L38" s="43"/>
      <c r="M38" s="50" t="str">
        <f>IF(Bozza!$A$9 = "Prima visita ulteriore", "X", "")</f>
        <v/>
      </c>
      <c r="N38" s="8"/>
      <c r="O38" s="8"/>
      <c r="P38" s="8"/>
      <c r="Q38" s="8"/>
      <c r="R38" s="8"/>
      <c r="S38" s="8"/>
      <c r="T38" s="50" t="str">
        <f>IF(Bozza!$A$9 = "Discorso", "X", "")</f>
        <v/>
      </c>
      <c r="U38" s="43"/>
      <c r="V38" s="8"/>
    </row>
    <row r="39" spans="1:23" ht="6" customHeight="1">
      <c r="A39" s="8"/>
      <c r="B39" s="50"/>
      <c r="C39" s="8"/>
      <c r="D39" s="8"/>
      <c r="E39" s="8"/>
      <c r="F39" s="8"/>
      <c r="G39" s="8"/>
      <c r="H39" s="8"/>
      <c r="I39" s="50"/>
      <c r="J39" s="8"/>
      <c r="K39" s="8"/>
      <c r="L39" s="43"/>
      <c r="M39" s="50"/>
      <c r="N39" s="8"/>
      <c r="O39" s="8"/>
      <c r="P39" s="8"/>
      <c r="Q39" s="8"/>
      <c r="R39" s="8"/>
      <c r="S39" s="8"/>
      <c r="T39" s="50"/>
      <c r="U39" s="43"/>
      <c r="V39" s="8"/>
    </row>
    <row r="40" spans="1:23" ht="7.5" customHeight="1">
      <c r="A40" s="8"/>
      <c r="B40" s="50" t="str">
        <f>IF(Bozza!$A$9 = "Seconda visita ulteriore", "X", "")</f>
        <v/>
      </c>
      <c r="C40" s="8"/>
      <c r="D40" s="8"/>
      <c r="E40" s="8"/>
      <c r="F40" s="8"/>
      <c r="G40" s="8"/>
      <c r="H40" s="8"/>
      <c r="I40" s="50"/>
      <c r="J40" s="8"/>
      <c r="K40" s="8"/>
      <c r="L40" s="43"/>
      <c r="M40" s="50" t="str">
        <f>IF(Bozza!$A$9 = "Seconda visita ulteriore", "X", "")</f>
        <v/>
      </c>
      <c r="N40" s="8"/>
      <c r="O40" s="8"/>
      <c r="P40" s="8"/>
      <c r="Q40" s="8"/>
      <c r="R40" s="8"/>
      <c r="S40" s="8"/>
      <c r="T40" s="50"/>
      <c r="U40" s="43"/>
      <c r="V40" s="8"/>
    </row>
    <row r="41" spans="1:23" ht="24" customHeight="1">
      <c r="A41" s="8"/>
      <c r="C41" s="8"/>
      <c r="D41" s="8"/>
      <c r="E41" s="8"/>
      <c r="F41" s="8"/>
      <c r="G41" s="8"/>
      <c r="H41" s="8"/>
      <c r="J41" s="8"/>
      <c r="K41" s="8"/>
      <c r="L41" s="43"/>
      <c r="N41" s="43"/>
      <c r="O41" s="43"/>
      <c r="P41" s="43"/>
      <c r="Q41" s="43"/>
      <c r="R41" s="43"/>
      <c r="S41" s="43"/>
      <c r="U41" s="43"/>
      <c r="V41" s="8"/>
    </row>
    <row r="42" spans="1:23" ht="6.75" customHeight="1">
      <c r="A42" s="8"/>
      <c r="B42" s="54" t="s">
        <v>16</v>
      </c>
      <c r="C42" s="8"/>
      <c r="D42" s="8"/>
      <c r="E42" s="155"/>
      <c r="F42" s="155"/>
      <c r="G42" s="155"/>
      <c r="H42" s="155"/>
      <c r="J42" s="8"/>
      <c r="K42" s="8"/>
      <c r="L42" s="49"/>
      <c r="N42" s="49"/>
      <c r="O42" s="49"/>
      <c r="P42" s="156"/>
      <c r="Q42" s="156"/>
      <c r="R42" s="156"/>
      <c r="S42" s="156"/>
      <c r="U42" s="49"/>
      <c r="V42" s="8"/>
      <c r="W42" s="8"/>
    </row>
    <row r="43" spans="1:23" s="8" customFormat="1" ht="6.75" customHeight="1">
      <c r="B43" s="54"/>
      <c r="E43" s="48"/>
      <c r="F43" s="48"/>
      <c r="G43" s="48"/>
      <c r="H43" s="48"/>
      <c r="I43" s="54"/>
      <c r="L43" s="49"/>
      <c r="M43" s="54"/>
      <c r="N43" s="49"/>
      <c r="O43" s="49"/>
      <c r="P43" s="49"/>
      <c r="Q43" s="49"/>
      <c r="R43" s="49"/>
      <c r="S43" s="49"/>
      <c r="T43" s="54"/>
      <c r="U43" s="49"/>
    </row>
    <row r="44" spans="1:23" s="8" customFormat="1" ht="8" customHeight="1">
      <c r="B44" s="54"/>
      <c r="E44" s="48"/>
      <c r="F44" s="48"/>
      <c r="G44" s="48"/>
      <c r="H44" s="48"/>
      <c r="I44" s="54"/>
      <c r="L44" s="49"/>
      <c r="M44" s="54" t="s">
        <v>16</v>
      </c>
      <c r="N44" s="49"/>
      <c r="O44" s="49"/>
      <c r="P44" s="49"/>
      <c r="Q44" s="49"/>
      <c r="R44" s="49"/>
      <c r="S44" s="49"/>
      <c r="T44" s="54"/>
      <c r="U44" s="49"/>
    </row>
    <row r="45" spans="1:23" s="8" customFormat="1" ht="7" customHeight="1">
      <c r="B45" s="54"/>
      <c r="E45" s="45"/>
      <c r="F45" s="45"/>
      <c r="G45" s="45"/>
      <c r="H45" s="45"/>
      <c r="I45" s="54"/>
      <c r="L45" s="46"/>
      <c r="M45" s="54"/>
      <c r="N45" s="46"/>
      <c r="O45" s="46"/>
      <c r="P45" s="46"/>
      <c r="Q45" s="46"/>
      <c r="R45" s="46"/>
      <c r="S45" s="46"/>
      <c r="T45" s="54"/>
      <c r="U45" s="46"/>
    </row>
    <row r="46" spans="1:23" s="8" customFormat="1" ht="7" customHeight="1">
      <c r="B46" s="54"/>
      <c r="E46" s="45"/>
      <c r="F46" s="45"/>
      <c r="G46" s="45"/>
      <c r="H46" s="45"/>
      <c r="I46" s="54"/>
      <c r="L46" s="46"/>
      <c r="M46" s="54"/>
      <c r="N46" s="46"/>
      <c r="O46" s="46"/>
      <c r="P46" s="46"/>
      <c r="Q46" s="46"/>
      <c r="R46" s="46"/>
      <c r="S46" s="46"/>
      <c r="T46" s="54"/>
      <c r="U46" s="46"/>
    </row>
    <row r="47" spans="1:23" ht="91" customHeight="1">
      <c r="A47" s="8"/>
      <c r="C47" s="8"/>
      <c r="D47" s="8"/>
      <c r="E47" s="8"/>
      <c r="F47" s="8"/>
      <c r="G47" s="8"/>
      <c r="H47" s="8"/>
      <c r="J47" s="8"/>
      <c r="K47" s="8"/>
      <c r="L47" s="43"/>
      <c r="N47" s="43"/>
      <c r="O47" s="43"/>
      <c r="P47" s="43"/>
      <c r="Q47" s="43"/>
      <c r="R47" s="43"/>
      <c r="S47" s="43"/>
      <c r="U47" s="43"/>
      <c r="V47" s="8"/>
    </row>
    <row r="48" spans="1:23" ht="68.25" customHeight="1">
      <c r="A48" s="8"/>
      <c r="C48" s="8"/>
      <c r="D48" s="8"/>
      <c r="E48" s="8"/>
      <c r="F48" s="8"/>
      <c r="G48" s="8"/>
      <c r="H48" s="8"/>
      <c r="J48" s="8"/>
      <c r="K48" s="8"/>
      <c r="L48" s="43"/>
      <c r="N48" s="43"/>
      <c r="O48" s="43"/>
      <c r="P48" s="43"/>
      <c r="Q48" s="43"/>
      <c r="R48" s="43"/>
      <c r="S48" s="43"/>
      <c r="U48" s="43"/>
      <c r="V48" s="8"/>
    </row>
    <row r="49" spans="1:22" ht="12" customHeight="1">
      <c r="A49" s="8"/>
      <c r="C49" s="8"/>
      <c r="D49" s="44"/>
      <c r="E49" s="44"/>
      <c r="F49" s="44"/>
      <c r="G49" s="44"/>
      <c r="H49" s="158">
        <f>Bozza!$C$11</f>
        <v>0</v>
      </c>
      <c r="I49" s="158"/>
      <c r="J49" s="158"/>
      <c r="K49" s="8"/>
      <c r="L49" s="43"/>
      <c r="N49" s="43"/>
      <c r="O49" s="44"/>
      <c r="P49" s="44"/>
      <c r="Q49" s="44"/>
      <c r="R49" s="44"/>
      <c r="S49" s="158">
        <f>Bozza!$F$11</f>
        <v>0</v>
      </c>
      <c r="T49" s="158"/>
      <c r="U49" s="158"/>
      <c r="V49" s="8"/>
    </row>
    <row r="50" spans="1:22" ht="11.25" customHeight="1">
      <c r="A50" s="8"/>
      <c r="C50" s="8"/>
      <c r="D50" s="44"/>
      <c r="E50" s="44"/>
      <c r="F50" s="44"/>
      <c r="G50" s="44"/>
      <c r="H50" s="44"/>
      <c r="J50" s="44"/>
      <c r="K50" s="8"/>
      <c r="L50" s="43"/>
      <c r="N50" s="43"/>
      <c r="O50" s="44"/>
      <c r="P50" s="44"/>
      <c r="Q50" s="44"/>
      <c r="R50" s="44"/>
      <c r="S50" s="44"/>
      <c r="U50" s="44"/>
      <c r="V50" s="8"/>
    </row>
    <row r="51" spans="1:22" ht="16" customHeight="1">
      <c r="A51" s="8"/>
      <c r="C51" s="8"/>
      <c r="D51" s="44"/>
      <c r="E51" s="44"/>
      <c r="F51" s="158">
        <f>Bozza!$C$12</f>
        <v>0</v>
      </c>
      <c r="G51" s="158"/>
      <c r="H51" s="158"/>
      <c r="I51" s="158"/>
      <c r="J51" s="158"/>
      <c r="K51" s="8"/>
      <c r="L51" s="43"/>
      <c r="N51" s="43"/>
      <c r="O51" s="44"/>
      <c r="P51" s="44"/>
      <c r="Q51" s="158">
        <f>Bozza!$F$12</f>
        <v>0</v>
      </c>
      <c r="R51" s="158"/>
      <c r="S51" s="158"/>
      <c r="T51" s="158"/>
      <c r="U51" s="158"/>
      <c r="V51" s="8"/>
    </row>
    <row r="52" spans="1:22" ht="11.25" customHeight="1">
      <c r="A52" s="8"/>
      <c r="C52" s="8"/>
      <c r="D52" s="44"/>
      <c r="E52" s="44"/>
      <c r="F52" s="44"/>
      <c r="G52" s="44"/>
      <c r="H52" s="44"/>
      <c r="J52" s="44"/>
      <c r="K52" s="8"/>
      <c r="L52" s="43"/>
      <c r="N52" s="43"/>
      <c r="O52" s="44"/>
      <c r="P52" s="44"/>
      <c r="Q52" s="44"/>
      <c r="R52" s="44"/>
      <c r="S52" s="44"/>
      <c r="U52" s="44"/>
      <c r="V52" s="8"/>
    </row>
    <row r="53" spans="1:22" ht="16" customHeight="1">
      <c r="A53" s="8"/>
      <c r="C53" s="8"/>
      <c r="D53" s="157">
        <f>D6</f>
        <v>0</v>
      </c>
      <c r="E53" s="157"/>
      <c r="F53" s="157"/>
      <c r="G53" s="157"/>
      <c r="H53" s="157"/>
      <c r="I53" s="157"/>
      <c r="J53" s="157"/>
      <c r="K53" s="8"/>
      <c r="L53" s="43"/>
      <c r="N53" s="43"/>
      <c r="O53" s="157">
        <f>D6</f>
        <v>0</v>
      </c>
      <c r="P53" s="157"/>
      <c r="Q53" s="157"/>
      <c r="R53" s="157"/>
      <c r="S53" s="157"/>
      <c r="T53" s="157"/>
      <c r="U53" s="157"/>
      <c r="V53" s="8"/>
    </row>
    <row r="54" spans="1:22" ht="13.5" customHeight="1">
      <c r="A54" s="8"/>
      <c r="C54" s="8"/>
      <c r="D54" s="44"/>
      <c r="E54" s="44"/>
      <c r="F54" s="44"/>
      <c r="G54" s="44"/>
      <c r="H54" s="44"/>
      <c r="J54" s="44"/>
      <c r="K54" s="8"/>
      <c r="L54" s="43"/>
      <c r="N54" s="43"/>
      <c r="O54" s="44"/>
      <c r="P54" s="44"/>
      <c r="Q54" s="44"/>
      <c r="R54" s="44"/>
      <c r="S54" s="44"/>
      <c r="U54" s="44"/>
      <c r="V54" s="8"/>
    </row>
    <row r="55" spans="1:22" ht="14" customHeight="1">
      <c r="A55" s="8"/>
      <c r="C55" s="8"/>
      <c r="D55" s="44"/>
      <c r="E55" s="44"/>
      <c r="F55" s="44"/>
      <c r="G55" s="156">
        <f>Bozza!$E$11</f>
        <v>0</v>
      </c>
      <c r="H55" s="156"/>
      <c r="I55" s="156"/>
      <c r="J55" s="156"/>
      <c r="K55" s="8"/>
      <c r="L55" s="43"/>
      <c r="N55" s="43"/>
      <c r="O55" s="44"/>
      <c r="P55" s="44"/>
      <c r="Q55" s="44"/>
      <c r="R55" s="156">
        <f>Bozza!$H$11</f>
        <v>0</v>
      </c>
      <c r="S55" s="156"/>
      <c r="T55" s="156"/>
      <c r="U55" s="156"/>
      <c r="V55" s="8"/>
    </row>
    <row r="56" spans="1:22" ht="34" customHeight="1">
      <c r="A56" s="8"/>
      <c r="C56" s="8"/>
      <c r="D56" s="8"/>
      <c r="E56" s="8"/>
      <c r="F56" s="8"/>
      <c r="G56" s="8"/>
      <c r="H56" s="8"/>
      <c r="J56" s="8"/>
      <c r="K56" s="8"/>
      <c r="L56" s="43"/>
      <c r="N56" s="43"/>
      <c r="O56" s="43"/>
      <c r="P56" s="43"/>
      <c r="Q56" s="43"/>
      <c r="R56" s="43"/>
      <c r="S56" s="43"/>
      <c r="U56" s="43"/>
      <c r="V56" s="8"/>
    </row>
    <row r="57" spans="1:22" ht="8" customHeight="1">
      <c r="A57" s="8"/>
      <c r="B57" s="50" t="str">
        <f>IF(Bozza!$A$11 = "Lettura biblica", "X", "")</f>
        <v/>
      </c>
      <c r="C57" s="8"/>
      <c r="D57" s="8"/>
      <c r="E57" s="8"/>
      <c r="F57" s="8"/>
      <c r="G57" s="8"/>
      <c r="H57" s="8"/>
      <c r="I57" s="50" t="str">
        <f>IF(Bozza!$A$11 = "Terza visita ulteriore", "X", "")</f>
        <v/>
      </c>
      <c r="J57" s="8"/>
      <c r="K57" s="8"/>
      <c r="L57" s="43"/>
      <c r="M57" s="50" t="str">
        <f>IF(Bozza!$A$11 = "Lettura biblica", "X", "")</f>
        <v/>
      </c>
      <c r="N57" s="8"/>
      <c r="O57" s="8"/>
      <c r="P57" s="8"/>
      <c r="Q57" s="8"/>
      <c r="R57" s="8"/>
      <c r="S57" s="8"/>
      <c r="T57" s="50" t="str">
        <f>IF(Bozza!$A$11 = "Terza visita ulteriore", "X", "")</f>
        <v/>
      </c>
      <c r="U57" s="43"/>
      <c r="V57" s="8"/>
    </row>
    <row r="58" spans="1:22" ht="6.75" customHeight="1">
      <c r="A58" s="8"/>
      <c r="B58" s="50"/>
      <c r="C58" s="8"/>
      <c r="D58" s="8"/>
      <c r="E58" s="8"/>
      <c r="F58" s="8"/>
      <c r="G58" s="8"/>
      <c r="H58" s="8"/>
      <c r="I58" s="50"/>
      <c r="J58" s="8"/>
      <c r="K58" s="8"/>
      <c r="L58" s="43"/>
      <c r="M58" s="50"/>
      <c r="N58" s="8"/>
      <c r="O58" s="8"/>
      <c r="P58" s="8"/>
      <c r="Q58" s="8"/>
      <c r="R58" s="8"/>
      <c r="S58" s="8"/>
      <c r="T58" s="50"/>
      <c r="U58" s="43"/>
      <c r="V58" s="8"/>
    </row>
    <row r="59" spans="1:22" ht="7" customHeight="1">
      <c r="A59" s="8"/>
      <c r="B59" s="50" t="str">
        <f>IF(Bozza!$A$11 = "Primo contatto", "X", "")</f>
        <v/>
      </c>
      <c r="C59" s="8"/>
      <c r="D59" s="8"/>
      <c r="E59" s="8"/>
      <c r="F59" s="8"/>
      <c r="G59" s="8"/>
      <c r="H59" s="8"/>
      <c r="I59" s="50" t="str">
        <f>IF(Bozza!$A$11 = "Studio biblico", "X", "")</f>
        <v/>
      </c>
      <c r="J59" s="8"/>
      <c r="K59" s="8"/>
      <c r="L59" s="43"/>
      <c r="M59" s="50" t="str">
        <f>IF(Bozza!$A$11 = "Primo contatto", "X", "")</f>
        <v/>
      </c>
      <c r="N59" s="8"/>
      <c r="O59" s="8"/>
      <c r="P59" s="8"/>
      <c r="Q59" s="8"/>
      <c r="R59" s="8"/>
      <c r="S59" s="8"/>
      <c r="T59" s="50" t="str">
        <f>IF(Bozza!$A$11 = "Studio biblico", "X", "")</f>
        <v/>
      </c>
      <c r="U59" s="43"/>
      <c r="V59" s="8"/>
    </row>
    <row r="60" spans="1:22" ht="6" customHeight="1">
      <c r="A60" s="8"/>
      <c r="B60" s="50"/>
      <c r="C60" s="8"/>
      <c r="D60" s="8"/>
      <c r="E60" s="8"/>
      <c r="F60" s="8"/>
      <c r="G60" s="8"/>
      <c r="H60" s="8"/>
      <c r="I60" s="50"/>
      <c r="J60" s="8"/>
      <c r="K60" s="8"/>
      <c r="L60" s="43"/>
      <c r="M60" s="50"/>
      <c r="N60" s="8"/>
      <c r="O60" s="8"/>
      <c r="P60" s="8"/>
      <c r="Q60" s="8"/>
      <c r="R60" s="8"/>
      <c r="S60" s="8"/>
      <c r="T60" s="50"/>
      <c r="U60" s="43"/>
      <c r="V60" s="8"/>
    </row>
    <row r="61" spans="1:22" ht="6" customHeight="1">
      <c r="A61" s="8"/>
      <c r="B61" s="50" t="str">
        <f>IF(Bozza!$A$11 = "Prima visita ulteriore", "X", "")</f>
        <v/>
      </c>
      <c r="C61" s="8"/>
      <c r="D61" s="8"/>
      <c r="E61" s="8"/>
      <c r="F61" s="8"/>
      <c r="G61" s="8"/>
      <c r="H61" s="8"/>
      <c r="I61" s="50" t="str">
        <f>IF(Bozza!$A$11 = "Discorso", "X", "")</f>
        <v/>
      </c>
      <c r="J61" s="8"/>
      <c r="K61" s="8"/>
      <c r="L61" s="43"/>
      <c r="M61" s="50" t="str">
        <f>IF(Bozza!$A$11 = "Prima visita ulteriore", "X", "")</f>
        <v/>
      </c>
      <c r="N61" s="8"/>
      <c r="O61" s="8"/>
      <c r="P61" s="8"/>
      <c r="Q61" s="8"/>
      <c r="R61" s="8"/>
      <c r="S61" s="8"/>
      <c r="T61" s="50" t="str">
        <f>IF(Bozza!$A$11 = "Discorso", "X", "")</f>
        <v/>
      </c>
      <c r="U61" s="43"/>
      <c r="V61" s="8"/>
    </row>
    <row r="62" spans="1:22" ht="6" customHeight="1">
      <c r="A62" s="8"/>
      <c r="B62" s="50"/>
      <c r="C62" s="8"/>
      <c r="D62" s="8"/>
      <c r="E62" s="8"/>
      <c r="F62" s="8"/>
      <c r="G62" s="8"/>
      <c r="H62" s="8"/>
      <c r="I62" s="50"/>
      <c r="J62" s="8"/>
      <c r="K62" s="8"/>
      <c r="L62" s="43"/>
      <c r="M62" s="50"/>
      <c r="N62" s="8"/>
      <c r="O62" s="8"/>
      <c r="P62" s="8"/>
      <c r="Q62" s="8"/>
      <c r="R62" s="8"/>
      <c r="S62" s="8"/>
      <c r="T62" s="50"/>
      <c r="U62" s="43"/>
      <c r="V62" s="8"/>
    </row>
    <row r="63" spans="1:22" ht="7.5" customHeight="1">
      <c r="A63" s="8"/>
      <c r="B63" s="50" t="str">
        <f>IF(Bozza!$A$11 = "Seconda visita ulteriore", "X", "")</f>
        <v/>
      </c>
      <c r="C63" s="8"/>
      <c r="D63" s="8"/>
      <c r="E63" s="8"/>
      <c r="F63" s="8"/>
      <c r="G63" s="8"/>
      <c r="H63" s="8"/>
      <c r="I63" s="50"/>
      <c r="J63" s="8"/>
      <c r="K63" s="8"/>
      <c r="L63" s="43"/>
      <c r="M63" s="50" t="str">
        <f>IF(Bozza!$A$11 = "Seconda visita ulteriore", "X", "")</f>
        <v/>
      </c>
      <c r="N63" s="8"/>
      <c r="O63" s="8"/>
      <c r="P63" s="8"/>
      <c r="Q63" s="8"/>
      <c r="R63" s="8"/>
      <c r="S63" s="8"/>
      <c r="T63" s="50"/>
      <c r="U63" s="43"/>
      <c r="V63" s="8"/>
    </row>
    <row r="64" spans="1:22" ht="23" customHeight="1">
      <c r="A64" s="8"/>
      <c r="C64" s="8"/>
      <c r="D64" s="8"/>
      <c r="E64" s="8"/>
      <c r="F64" s="8"/>
      <c r="G64" s="8"/>
      <c r="H64" s="8"/>
      <c r="J64" s="8"/>
      <c r="K64" s="8"/>
      <c r="L64" s="43"/>
      <c r="N64" s="43"/>
      <c r="O64" s="43"/>
      <c r="P64" s="43"/>
      <c r="Q64" s="43"/>
      <c r="R64" s="43"/>
      <c r="S64" s="43"/>
      <c r="U64" s="43"/>
      <c r="V64" s="8"/>
    </row>
    <row r="65" spans="1:23" ht="7" customHeight="1">
      <c r="A65" s="8"/>
      <c r="B65" s="54" t="s">
        <v>16</v>
      </c>
      <c r="C65" s="8"/>
      <c r="D65" s="8"/>
      <c r="E65" s="155"/>
      <c r="F65" s="155"/>
      <c r="G65" s="155"/>
      <c r="H65" s="155"/>
      <c r="J65" s="8"/>
      <c r="K65" s="8"/>
      <c r="L65" s="49"/>
      <c r="N65" s="49"/>
      <c r="O65" s="49"/>
      <c r="P65" s="156"/>
      <c r="Q65" s="156"/>
      <c r="R65" s="156"/>
      <c r="S65" s="156"/>
      <c r="U65" s="49"/>
      <c r="V65" s="8"/>
      <c r="W65" s="8"/>
    </row>
    <row r="66" spans="1:23" s="8" customFormat="1" ht="6" customHeight="1">
      <c r="B66" s="54"/>
      <c r="E66" s="48"/>
      <c r="F66" s="48"/>
      <c r="G66" s="48"/>
      <c r="H66" s="48"/>
      <c r="I66" s="54"/>
      <c r="L66" s="49"/>
      <c r="M66" s="54"/>
      <c r="N66" s="49"/>
      <c r="O66" s="49"/>
      <c r="P66" s="49"/>
      <c r="Q66" s="49"/>
      <c r="R66" s="49"/>
      <c r="S66" s="49"/>
      <c r="T66" s="54"/>
      <c r="U66" s="49"/>
    </row>
    <row r="67" spans="1:23" s="8" customFormat="1" ht="6.75" customHeight="1">
      <c r="B67" s="54"/>
      <c r="E67" s="48"/>
      <c r="F67" s="48"/>
      <c r="G67" s="48"/>
      <c r="H67" s="48"/>
      <c r="I67" s="54"/>
      <c r="L67" s="49"/>
      <c r="M67" s="54" t="s">
        <v>16</v>
      </c>
      <c r="N67" s="49"/>
      <c r="O67" s="49"/>
      <c r="P67" s="49"/>
      <c r="Q67" s="49"/>
      <c r="R67" s="49"/>
      <c r="S67" s="49"/>
      <c r="T67" s="54"/>
      <c r="U67" s="49"/>
    </row>
    <row r="68" spans="1:23" s="8" customFormat="1" ht="6.75" customHeight="1">
      <c r="B68" s="54"/>
      <c r="E68" s="45"/>
      <c r="F68" s="45"/>
      <c r="G68" s="45"/>
      <c r="H68" s="45"/>
      <c r="I68" s="54"/>
      <c r="L68" s="46"/>
      <c r="M68" s="54"/>
      <c r="N68" s="46"/>
      <c r="O68" s="46"/>
      <c r="P68" s="46"/>
      <c r="Q68" s="46"/>
      <c r="R68" s="46"/>
      <c r="S68" s="46"/>
      <c r="T68" s="54"/>
      <c r="U68" s="46"/>
    </row>
    <row r="69" spans="1:23" s="8" customFormat="1" ht="7" customHeight="1">
      <c r="B69" s="54"/>
      <c r="E69" s="45"/>
      <c r="F69" s="45"/>
      <c r="G69" s="45"/>
      <c r="H69" s="45"/>
      <c r="I69" s="54"/>
      <c r="L69" s="46"/>
      <c r="M69" s="54"/>
      <c r="N69" s="46"/>
      <c r="O69" s="46"/>
      <c r="P69" s="46"/>
      <c r="Q69" s="46"/>
      <c r="R69" s="46"/>
      <c r="S69" s="46"/>
      <c r="T69" s="54"/>
      <c r="U69" s="46"/>
    </row>
    <row r="70" spans="1:23" ht="92" customHeight="1">
      <c r="A70" s="8"/>
      <c r="C70" s="8"/>
      <c r="D70" s="8"/>
      <c r="E70" s="8"/>
      <c r="F70" s="8"/>
      <c r="G70" s="8"/>
      <c r="H70" s="8"/>
      <c r="J70" s="8"/>
      <c r="K70" s="8"/>
      <c r="L70" s="43"/>
      <c r="N70" s="43"/>
      <c r="O70" s="43"/>
      <c r="P70" s="43"/>
      <c r="Q70" s="43"/>
      <c r="R70" s="43"/>
      <c r="S70" s="43"/>
      <c r="U70" s="43"/>
      <c r="V70" s="8"/>
    </row>
    <row r="71" spans="1:23" ht="68.25" customHeight="1">
      <c r="A71" s="8"/>
      <c r="C71" s="8"/>
      <c r="D71" s="8"/>
      <c r="E71" s="8"/>
      <c r="F71" s="8"/>
      <c r="G71" s="8"/>
      <c r="H71" s="8"/>
      <c r="J71" s="8"/>
      <c r="K71" s="8"/>
      <c r="L71" s="43"/>
      <c r="N71" s="43"/>
      <c r="O71" s="43"/>
      <c r="P71" s="43"/>
      <c r="Q71" s="43"/>
      <c r="R71" s="43"/>
      <c r="S71" s="43"/>
      <c r="U71" s="43"/>
      <c r="V71" s="8"/>
    </row>
    <row r="72" spans="1:23" ht="12" customHeight="1">
      <c r="A72" s="8"/>
      <c r="C72" s="8"/>
      <c r="D72" s="44"/>
      <c r="E72" s="44"/>
      <c r="F72" s="44"/>
      <c r="G72" s="44"/>
      <c r="H72" s="158">
        <f>Bozza!$C$13</f>
        <v>0</v>
      </c>
      <c r="I72" s="158"/>
      <c r="J72" s="158"/>
      <c r="K72" s="8"/>
      <c r="L72" s="43"/>
      <c r="N72" s="43"/>
      <c r="O72" s="44"/>
      <c r="P72" s="44"/>
      <c r="Q72" s="44"/>
      <c r="R72" s="44"/>
      <c r="S72" s="158">
        <f>Bozza!$F$13</f>
        <v>0</v>
      </c>
      <c r="T72" s="158"/>
      <c r="U72" s="158"/>
      <c r="V72" s="8"/>
    </row>
    <row r="73" spans="1:23" ht="11.25" customHeight="1">
      <c r="A73" s="8"/>
      <c r="C73" s="8"/>
      <c r="D73" s="44"/>
      <c r="E73" s="44"/>
      <c r="F73" s="44"/>
      <c r="G73" s="44"/>
      <c r="H73" s="44"/>
      <c r="J73" s="44"/>
      <c r="K73" s="8"/>
      <c r="L73" s="43"/>
      <c r="N73" s="43"/>
      <c r="O73" s="44"/>
      <c r="P73" s="44"/>
      <c r="Q73" s="44"/>
      <c r="R73" s="44"/>
      <c r="S73" s="44"/>
      <c r="U73" s="44"/>
      <c r="V73" s="8"/>
    </row>
    <row r="74" spans="1:23" ht="16" customHeight="1">
      <c r="A74" s="8"/>
      <c r="C74" s="8"/>
      <c r="D74" s="44"/>
      <c r="E74" s="44"/>
      <c r="F74" s="158">
        <f>Bozza!$C$14</f>
        <v>0</v>
      </c>
      <c r="G74" s="158"/>
      <c r="H74" s="158"/>
      <c r="I74" s="158"/>
      <c r="J74" s="158"/>
      <c r="K74" s="8"/>
      <c r="L74" s="43"/>
      <c r="N74" s="43"/>
      <c r="O74" s="44"/>
      <c r="P74" s="44"/>
      <c r="Q74" s="158">
        <f>Bozza!$F$14</f>
        <v>0</v>
      </c>
      <c r="R74" s="158"/>
      <c r="S74" s="158"/>
      <c r="T74" s="158"/>
      <c r="U74" s="158"/>
      <c r="V74" s="8"/>
    </row>
    <row r="75" spans="1:23" ht="11.25" customHeight="1">
      <c r="A75" s="8"/>
      <c r="C75" s="8"/>
      <c r="D75" s="44"/>
      <c r="E75" s="44"/>
      <c r="F75" s="44"/>
      <c r="G75" s="44"/>
      <c r="H75" s="44"/>
      <c r="J75" s="44"/>
      <c r="K75" s="8"/>
      <c r="L75" s="43"/>
      <c r="N75" s="43"/>
      <c r="O75" s="44"/>
      <c r="P75" s="44"/>
      <c r="Q75" s="44"/>
      <c r="R75" s="44"/>
      <c r="S75" s="44"/>
      <c r="U75" s="44"/>
      <c r="V75" s="8"/>
    </row>
    <row r="76" spans="1:23" ht="18" customHeight="1">
      <c r="A76" s="8"/>
      <c r="C76" s="8"/>
      <c r="D76" s="157">
        <f>D6</f>
        <v>0</v>
      </c>
      <c r="E76" s="157"/>
      <c r="F76" s="157"/>
      <c r="G76" s="157"/>
      <c r="H76" s="157"/>
      <c r="I76" s="157"/>
      <c r="J76" s="157"/>
      <c r="K76" s="8"/>
      <c r="L76" s="43"/>
      <c r="N76" s="43"/>
      <c r="O76" s="157">
        <f>D6</f>
        <v>0</v>
      </c>
      <c r="P76" s="157"/>
      <c r="Q76" s="157"/>
      <c r="R76" s="157"/>
      <c r="S76" s="157"/>
      <c r="T76" s="157"/>
      <c r="U76" s="157"/>
      <c r="V76" s="8"/>
    </row>
    <row r="77" spans="1:23" ht="13.5" customHeight="1">
      <c r="A77" s="8"/>
      <c r="C77" s="8"/>
      <c r="D77" s="44"/>
      <c r="E77" s="44"/>
      <c r="F77" s="44"/>
      <c r="G77" s="44"/>
      <c r="H77" s="44"/>
      <c r="J77" s="44"/>
      <c r="K77" s="8"/>
      <c r="L77" s="43"/>
      <c r="N77" s="43"/>
      <c r="O77" s="44"/>
      <c r="P77" s="44"/>
      <c r="Q77" s="44"/>
      <c r="R77" s="44"/>
      <c r="S77" s="44"/>
      <c r="U77" s="44"/>
      <c r="V77" s="8"/>
    </row>
    <row r="78" spans="1:23" ht="14" customHeight="1">
      <c r="A78" s="8"/>
      <c r="C78" s="8"/>
      <c r="D78" s="44"/>
      <c r="E78" s="44"/>
      <c r="F78" s="44"/>
      <c r="G78" s="156">
        <f>Bozza!$E$13</f>
        <v>0</v>
      </c>
      <c r="H78" s="156"/>
      <c r="I78" s="156"/>
      <c r="J78" s="156"/>
      <c r="K78" s="8"/>
      <c r="L78" s="43"/>
      <c r="N78" s="43"/>
      <c r="O78" s="44"/>
      <c r="P78" s="44"/>
      <c r="Q78" s="44"/>
      <c r="R78" s="156">
        <f>Bozza!$H$13</f>
        <v>0</v>
      </c>
      <c r="S78" s="156"/>
      <c r="T78" s="156"/>
      <c r="U78" s="156"/>
      <c r="V78" s="8"/>
    </row>
    <row r="79" spans="1:23" ht="35" customHeight="1">
      <c r="A79" s="8"/>
      <c r="C79" s="8"/>
      <c r="D79" s="8"/>
      <c r="E79" s="8"/>
      <c r="F79" s="8"/>
      <c r="G79" s="8"/>
      <c r="H79" s="8"/>
      <c r="J79" s="8"/>
      <c r="K79" s="8"/>
      <c r="L79" s="43"/>
      <c r="N79" s="43"/>
      <c r="O79" s="43"/>
      <c r="P79" s="43"/>
      <c r="Q79" s="43"/>
      <c r="R79" s="43"/>
      <c r="S79" s="43"/>
      <c r="U79" s="43"/>
      <c r="V79" s="8"/>
    </row>
    <row r="80" spans="1:23" ht="6" customHeight="1">
      <c r="A80" s="8"/>
      <c r="B80" s="50" t="str">
        <f>IF(Bozza!$A$13 = "Lettura biblica", "X", "")</f>
        <v/>
      </c>
      <c r="C80" s="8"/>
      <c r="D80" s="8"/>
      <c r="E80" s="8"/>
      <c r="F80" s="8"/>
      <c r="G80" s="8"/>
      <c r="H80" s="8"/>
      <c r="I80" s="50" t="str">
        <f>IF(Bozza!$A$13 = "Terza visita ulteriore", "X", "")</f>
        <v/>
      </c>
      <c r="J80" s="8"/>
      <c r="K80" s="8"/>
      <c r="L80" s="43"/>
      <c r="M80" s="50" t="str">
        <f>IF(Bozza!$A$13 = "Lettura biblica", "X", "")</f>
        <v/>
      </c>
      <c r="N80" s="8"/>
      <c r="O80" s="8"/>
      <c r="P80" s="8"/>
      <c r="Q80" s="8"/>
      <c r="R80" s="8"/>
      <c r="S80" s="8"/>
      <c r="T80" s="50" t="str">
        <f>IF(Bozza!$A$13 = "Terza visita ulteriore", "X", "")</f>
        <v/>
      </c>
      <c r="U80" s="43"/>
      <c r="V80" s="8"/>
    </row>
    <row r="81" spans="1:23" ht="6.75" customHeight="1">
      <c r="A81" s="8"/>
      <c r="B81" s="50"/>
      <c r="C81" s="8"/>
      <c r="D81" s="8"/>
      <c r="E81" s="8"/>
      <c r="F81" s="8"/>
      <c r="G81" s="8"/>
      <c r="H81" s="8"/>
      <c r="I81" s="50"/>
      <c r="J81" s="8"/>
      <c r="K81" s="8"/>
      <c r="L81" s="43"/>
      <c r="M81" s="50"/>
      <c r="N81" s="8"/>
      <c r="O81" s="8"/>
      <c r="P81" s="8"/>
      <c r="Q81" s="8"/>
      <c r="R81" s="8"/>
      <c r="S81" s="8"/>
      <c r="T81" s="50"/>
      <c r="U81" s="43"/>
      <c r="V81" s="8"/>
    </row>
    <row r="82" spans="1:23" ht="7" customHeight="1">
      <c r="A82" s="8"/>
      <c r="B82" s="50" t="str">
        <f>IF(Bozza!$A$13 = "Primo contatto", "X", "")</f>
        <v/>
      </c>
      <c r="C82" s="8"/>
      <c r="D82" s="8"/>
      <c r="E82" s="8"/>
      <c r="F82" s="8"/>
      <c r="G82" s="8"/>
      <c r="H82" s="8"/>
      <c r="I82" s="50" t="str">
        <f>IF(Bozza!$A$13 = "Studio biblico", "X", "")</f>
        <v/>
      </c>
      <c r="J82" s="8"/>
      <c r="K82" s="8"/>
      <c r="L82" s="43"/>
      <c r="M82" s="50" t="str">
        <f>IF(Bozza!$A$13 = "Primo contatto", "X", "")</f>
        <v/>
      </c>
      <c r="N82" s="8"/>
      <c r="O82" s="8"/>
      <c r="P82" s="8"/>
      <c r="Q82" s="8"/>
      <c r="R82" s="8"/>
      <c r="S82" s="8"/>
      <c r="T82" s="50" t="str">
        <f>IF(Bozza!$A$13 = "Studio biblico", "X", "")</f>
        <v/>
      </c>
      <c r="U82" s="43"/>
      <c r="V82" s="8"/>
    </row>
    <row r="83" spans="1:23" ht="6.75" customHeight="1">
      <c r="A83" s="8"/>
      <c r="B83" s="50"/>
      <c r="C83" s="8"/>
      <c r="D83" s="8"/>
      <c r="E83" s="8"/>
      <c r="F83" s="8"/>
      <c r="G83" s="8"/>
      <c r="H83" s="8"/>
      <c r="I83" s="50"/>
      <c r="J83" s="8"/>
      <c r="K83" s="8"/>
      <c r="L83" s="43"/>
      <c r="M83" s="50"/>
      <c r="N83" s="8"/>
      <c r="O83" s="8"/>
      <c r="P83" s="8"/>
      <c r="Q83" s="8"/>
      <c r="R83" s="8"/>
      <c r="S83" s="8"/>
      <c r="T83" s="50"/>
      <c r="U83" s="43"/>
      <c r="V83" s="8"/>
    </row>
    <row r="84" spans="1:23" ht="7" customHeight="1">
      <c r="A84" s="8"/>
      <c r="B84" s="50" t="str">
        <f>IF(Bozza!$A$13 = "Prima visita ulteriore", "X", "")</f>
        <v/>
      </c>
      <c r="C84" s="8"/>
      <c r="D84" s="8"/>
      <c r="E84" s="8"/>
      <c r="F84" s="8"/>
      <c r="G84" s="8"/>
      <c r="H84" s="8"/>
      <c r="I84" s="50" t="str">
        <f>IF(Bozza!$A$13 = "Discorso", "X", "")</f>
        <v/>
      </c>
      <c r="J84" s="8"/>
      <c r="K84" s="8"/>
      <c r="L84" s="43"/>
      <c r="M84" s="50" t="str">
        <f>IF(Bozza!$A$13 = "Prima visita ulteriore", "X", "")</f>
        <v/>
      </c>
      <c r="N84" s="8"/>
      <c r="O84" s="8"/>
      <c r="P84" s="8"/>
      <c r="Q84" s="8"/>
      <c r="R84" s="8"/>
      <c r="S84" s="8"/>
      <c r="T84" s="50" t="str">
        <f>IF(Bozza!$A$13 = "Discorso", "X", "")</f>
        <v/>
      </c>
      <c r="U84" s="43"/>
      <c r="V84" s="8"/>
    </row>
    <row r="85" spans="1:23" ht="7.5" customHeight="1">
      <c r="A85" s="8"/>
      <c r="B85" s="50"/>
      <c r="C85" s="8"/>
      <c r="D85" s="8"/>
      <c r="E85" s="8"/>
      <c r="F85" s="8"/>
      <c r="G85" s="8"/>
      <c r="H85" s="8"/>
      <c r="I85" s="50"/>
      <c r="J85" s="8"/>
      <c r="K85" s="8"/>
      <c r="L85" s="43"/>
      <c r="M85" s="50"/>
      <c r="N85" s="8"/>
      <c r="O85" s="8"/>
      <c r="P85" s="8"/>
      <c r="Q85" s="8"/>
      <c r="R85" s="8"/>
      <c r="S85" s="8"/>
      <c r="T85" s="50"/>
      <c r="U85" s="43"/>
      <c r="V85" s="8"/>
    </row>
    <row r="86" spans="1:23" ht="6.75" customHeight="1">
      <c r="A86" s="8"/>
      <c r="B86" s="50" t="str">
        <f>IF(Bozza!$A$13 = "Seconda visita ulteriore", "X", "")</f>
        <v/>
      </c>
      <c r="C86" s="8"/>
      <c r="D86" s="8"/>
      <c r="E86" s="8"/>
      <c r="F86" s="8"/>
      <c r="G86" s="8"/>
      <c r="H86" s="8"/>
      <c r="I86" s="50"/>
      <c r="J86" s="8"/>
      <c r="K86" s="8"/>
      <c r="L86" s="43"/>
      <c r="M86" s="50" t="str">
        <f>IF(Bozza!$A$13 = "Seconda visita ulteriore", "X", "")</f>
        <v/>
      </c>
      <c r="N86" s="8"/>
      <c r="O86" s="8"/>
      <c r="P86" s="8"/>
      <c r="Q86" s="8"/>
      <c r="R86" s="8"/>
      <c r="S86" s="8"/>
      <c r="T86" s="50"/>
      <c r="U86" s="43"/>
      <c r="V86" s="8"/>
    </row>
    <row r="87" spans="1:23" ht="25" customHeight="1">
      <c r="A87" s="8"/>
      <c r="C87" s="8"/>
      <c r="D87" s="8"/>
      <c r="E87" s="8"/>
      <c r="F87" s="8"/>
      <c r="G87" s="8"/>
      <c r="H87" s="8"/>
      <c r="J87" s="8"/>
      <c r="K87" s="8"/>
      <c r="L87" s="43"/>
      <c r="N87" s="43"/>
      <c r="O87" s="43"/>
      <c r="P87" s="43"/>
      <c r="Q87" s="43"/>
      <c r="R87" s="43"/>
      <c r="S87" s="43"/>
      <c r="U87" s="43"/>
      <c r="V87" s="8"/>
    </row>
    <row r="88" spans="1:23" ht="6.75" customHeight="1">
      <c r="A88" s="8"/>
      <c r="B88" s="54" t="s">
        <v>16</v>
      </c>
      <c r="C88" s="8"/>
      <c r="D88" s="8"/>
      <c r="E88" s="155"/>
      <c r="F88" s="155"/>
      <c r="G88" s="155"/>
      <c r="H88" s="155"/>
      <c r="J88" s="8"/>
      <c r="K88" s="8"/>
      <c r="L88" s="49"/>
      <c r="N88" s="49"/>
      <c r="O88" s="49"/>
      <c r="P88" s="156"/>
      <c r="Q88" s="156"/>
      <c r="R88" s="156"/>
      <c r="S88" s="156"/>
      <c r="U88" s="49"/>
      <c r="V88" s="8"/>
      <c r="W88" s="8"/>
    </row>
    <row r="89" spans="1:23" s="8" customFormat="1" ht="6.75" customHeight="1">
      <c r="B89" s="54"/>
      <c r="E89" s="48"/>
      <c r="F89" s="48"/>
      <c r="G89" s="48"/>
      <c r="H89" s="48"/>
      <c r="I89" s="54"/>
      <c r="L89" s="49"/>
      <c r="M89" s="54"/>
      <c r="N89" s="49"/>
      <c r="O89" s="49"/>
      <c r="P89" s="49"/>
      <c r="Q89" s="49"/>
      <c r="R89" s="49"/>
      <c r="S89" s="49"/>
      <c r="T89" s="54"/>
      <c r="U89" s="49"/>
    </row>
    <row r="90" spans="1:23" s="8" customFormat="1" ht="6.75" customHeight="1">
      <c r="B90" s="54"/>
      <c r="E90" s="48"/>
      <c r="F90" s="48"/>
      <c r="G90" s="48"/>
      <c r="H90" s="48"/>
      <c r="I90" s="54"/>
      <c r="L90" s="49"/>
      <c r="M90" s="54" t="s">
        <v>16</v>
      </c>
      <c r="N90" s="49"/>
      <c r="O90" s="49"/>
      <c r="P90" s="49"/>
      <c r="Q90" s="49"/>
      <c r="R90" s="49"/>
      <c r="S90" s="49"/>
      <c r="T90" s="54"/>
      <c r="U90" s="49"/>
    </row>
    <row r="91" spans="1:23" s="8" customFormat="1" ht="6.75" customHeight="1">
      <c r="B91" s="54"/>
      <c r="E91" s="45"/>
      <c r="F91" s="45"/>
      <c r="G91" s="45"/>
      <c r="H91" s="45"/>
      <c r="I91" s="54"/>
      <c r="L91" s="46"/>
      <c r="M91" s="54"/>
      <c r="N91" s="46"/>
      <c r="O91" s="46"/>
      <c r="P91" s="46"/>
      <c r="Q91" s="46"/>
      <c r="R91" s="46"/>
      <c r="S91" s="46"/>
      <c r="T91" s="54"/>
      <c r="U91" s="46"/>
    </row>
    <row r="92" spans="1:23" s="8" customFormat="1" ht="6.75" customHeight="1">
      <c r="B92" s="54"/>
      <c r="E92" s="45"/>
      <c r="F92" s="45"/>
      <c r="G92" s="45"/>
      <c r="H92" s="45"/>
      <c r="I92" s="54"/>
      <c r="L92" s="46"/>
      <c r="M92" s="54"/>
      <c r="N92" s="46"/>
      <c r="O92" s="46"/>
      <c r="P92" s="46"/>
      <c r="Q92" s="46"/>
      <c r="R92" s="46"/>
      <c r="S92" s="46"/>
      <c r="T92" s="54"/>
      <c r="U92" s="46"/>
    </row>
    <row r="93" spans="1:23" s="8" customFormat="1" ht="6.75" customHeight="1">
      <c r="B93" s="54"/>
      <c r="E93" s="45"/>
      <c r="F93" s="45"/>
      <c r="G93" s="45"/>
      <c r="H93" s="45"/>
      <c r="I93" s="54"/>
      <c r="L93" s="46"/>
      <c r="M93" s="54"/>
      <c r="N93" s="46"/>
      <c r="O93" s="46"/>
      <c r="P93" s="46"/>
      <c r="Q93" s="46"/>
      <c r="R93" s="46"/>
      <c r="S93" s="46"/>
      <c r="T93" s="54"/>
      <c r="U93" s="46"/>
    </row>
    <row r="94" spans="1:23" s="8" customFormat="1" ht="6.75" customHeight="1">
      <c r="B94" s="54"/>
      <c r="E94" s="45"/>
      <c r="F94" s="45"/>
      <c r="G94" s="45"/>
      <c r="H94" s="45"/>
      <c r="I94" s="54"/>
      <c r="L94" s="46"/>
      <c r="M94" s="54"/>
      <c r="N94" s="46"/>
      <c r="O94" s="46"/>
      <c r="P94" s="46"/>
      <c r="Q94" s="46"/>
      <c r="R94" s="46"/>
      <c r="S94" s="46"/>
      <c r="T94" s="54"/>
      <c r="U94" s="46"/>
    </row>
    <row r="95" spans="1:23" ht="80" customHeight="1">
      <c r="A95" s="8"/>
      <c r="C95" s="8"/>
      <c r="D95" s="8"/>
      <c r="E95" s="8"/>
      <c r="F95" s="8"/>
      <c r="G95" s="8"/>
      <c r="H95" s="8"/>
      <c r="J95" s="8"/>
      <c r="K95" s="8"/>
      <c r="L95" s="43"/>
      <c r="N95" s="43"/>
      <c r="O95" s="43"/>
      <c r="P95" s="43"/>
      <c r="Q95" s="43"/>
      <c r="R95" s="43"/>
      <c r="S95" s="43"/>
      <c r="U95" s="43"/>
      <c r="V95" s="8"/>
    </row>
    <row r="96" spans="1:23" ht="68.25" customHeight="1">
      <c r="C96" s="8"/>
      <c r="D96" s="8"/>
      <c r="E96" s="8"/>
      <c r="F96" s="8"/>
      <c r="G96" s="8"/>
      <c r="H96" s="8"/>
      <c r="J96" s="8"/>
      <c r="K96" s="8"/>
      <c r="L96" s="43"/>
      <c r="N96" s="43"/>
      <c r="O96" s="43"/>
      <c r="P96" s="43"/>
      <c r="Q96" s="43"/>
      <c r="R96" s="43"/>
      <c r="S96" s="43"/>
      <c r="U96" s="43"/>
    </row>
    <row r="97" spans="2:21" ht="12" customHeight="1">
      <c r="C97" s="8"/>
      <c r="D97" s="8"/>
      <c r="E97" s="8"/>
      <c r="F97" s="8"/>
      <c r="G97" s="8"/>
      <c r="H97" s="155">
        <f>Bozza!$C$28</f>
        <v>0</v>
      </c>
      <c r="I97" s="155"/>
      <c r="J97" s="155"/>
      <c r="K97" s="8"/>
      <c r="L97" s="43"/>
      <c r="N97" s="43"/>
      <c r="O97" s="43"/>
      <c r="P97" s="43"/>
      <c r="Q97" s="43"/>
      <c r="R97" s="43"/>
      <c r="S97" s="156">
        <f>Bozza!F28</f>
        <v>0</v>
      </c>
      <c r="T97" s="156"/>
      <c r="U97" s="156"/>
    </row>
    <row r="98" spans="2:21" ht="11.25" customHeight="1">
      <c r="C98" s="8"/>
      <c r="D98" s="8"/>
      <c r="E98" s="8"/>
      <c r="F98" s="8"/>
      <c r="G98" s="8"/>
      <c r="H98" s="8"/>
      <c r="J98" s="8"/>
      <c r="K98" s="8"/>
      <c r="L98" s="43"/>
      <c r="N98" s="43"/>
      <c r="O98" s="43"/>
      <c r="P98" s="43"/>
      <c r="Q98" s="43"/>
      <c r="R98" s="43"/>
      <c r="S98" s="43"/>
      <c r="U98" s="43"/>
    </row>
    <row r="99" spans="2:21" ht="16" customHeight="1">
      <c r="C99" s="8"/>
      <c r="D99" s="8"/>
      <c r="E99" s="8"/>
      <c r="F99" s="155"/>
      <c r="G99" s="155"/>
      <c r="H99" s="155"/>
      <c r="I99" s="155"/>
      <c r="J99" s="155"/>
      <c r="K99" s="8"/>
      <c r="L99" s="43"/>
      <c r="N99" s="43"/>
      <c r="O99" s="43"/>
      <c r="P99" s="43"/>
      <c r="Q99" s="156"/>
      <c r="R99" s="156"/>
      <c r="S99" s="156"/>
      <c r="T99" s="156"/>
      <c r="U99" s="156"/>
    </row>
    <row r="100" spans="2:21" ht="11.25" customHeight="1">
      <c r="C100" s="8"/>
      <c r="D100" s="8"/>
      <c r="E100" s="8"/>
      <c r="F100" s="8"/>
      <c r="G100" s="8"/>
      <c r="H100" s="8"/>
      <c r="J100" s="8"/>
      <c r="K100" s="8"/>
      <c r="L100" s="43"/>
      <c r="N100" s="43"/>
      <c r="O100" s="43"/>
      <c r="P100" s="43"/>
      <c r="Q100" s="43"/>
      <c r="R100" s="43"/>
      <c r="S100" s="43"/>
      <c r="U100" s="43"/>
    </row>
    <row r="101" spans="2:21" ht="17" customHeight="1">
      <c r="C101" s="8"/>
      <c r="D101" s="157">
        <f>D6+7</f>
        <v>7</v>
      </c>
      <c r="E101" s="157"/>
      <c r="F101" s="157"/>
      <c r="G101" s="157"/>
      <c r="H101" s="157"/>
      <c r="I101" s="157"/>
      <c r="J101" s="157"/>
      <c r="K101" s="8"/>
      <c r="L101" s="43"/>
      <c r="N101" s="43"/>
      <c r="O101" s="157">
        <f>D101</f>
        <v>7</v>
      </c>
      <c r="P101" s="157"/>
      <c r="Q101" s="157"/>
      <c r="R101" s="157"/>
      <c r="S101" s="157"/>
      <c r="T101" s="157"/>
      <c r="U101" s="157"/>
    </row>
    <row r="102" spans="2:21" ht="13.5" customHeight="1">
      <c r="C102" s="8"/>
      <c r="D102" s="8"/>
      <c r="E102" s="8"/>
      <c r="F102" s="8"/>
      <c r="G102" s="8"/>
      <c r="H102" s="8"/>
      <c r="J102" s="8"/>
      <c r="K102" s="8"/>
      <c r="L102" s="43"/>
      <c r="N102" s="43"/>
      <c r="O102" s="43"/>
      <c r="P102" s="43"/>
      <c r="Q102" s="43"/>
      <c r="R102" s="43"/>
      <c r="S102" s="43"/>
      <c r="U102" s="43"/>
    </row>
    <row r="103" spans="2:21" ht="15" customHeight="1">
      <c r="C103" s="8"/>
      <c r="D103" s="8"/>
      <c r="E103" s="8"/>
      <c r="F103" s="8"/>
      <c r="G103" s="156">
        <f>Bozza!$E$28</f>
        <v>0</v>
      </c>
      <c r="H103" s="156"/>
      <c r="I103" s="156"/>
      <c r="J103" s="156"/>
      <c r="K103" s="8"/>
      <c r="L103" s="43"/>
      <c r="N103" s="43"/>
      <c r="O103" s="43"/>
      <c r="P103" s="43"/>
      <c r="Q103" s="43"/>
      <c r="R103" s="156">
        <f>Bozza!H28</f>
        <v>0</v>
      </c>
      <c r="S103" s="156"/>
      <c r="T103" s="156"/>
      <c r="U103" s="156"/>
    </row>
    <row r="104" spans="2:21" ht="35" customHeight="1">
      <c r="C104" s="8"/>
      <c r="D104" s="8"/>
      <c r="E104" s="8"/>
      <c r="F104" s="8"/>
      <c r="G104" s="8"/>
      <c r="H104" s="8"/>
      <c r="J104" s="8"/>
      <c r="K104" s="8"/>
      <c r="L104" s="43"/>
      <c r="N104" s="43"/>
      <c r="O104" s="43"/>
      <c r="P104" s="43"/>
      <c r="Q104" s="43"/>
      <c r="R104" s="43"/>
      <c r="S104" s="43"/>
      <c r="U104" s="43"/>
    </row>
    <row r="105" spans="2:21" ht="6.75" customHeight="1">
      <c r="B105" s="50" t="str">
        <f>IF(Bozza!$A$28 = "Lettura biblica", "X", "")</f>
        <v/>
      </c>
      <c r="C105" s="8"/>
      <c r="D105" s="8"/>
      <c r="E105" s="8"/>
      <c r="F105" s="8"/>
      <c r="G105" s="8"/>
      <c r="H105" s="8"/>
      <c r="I105" s="50" t="str">
        <f>IF(Bozza!$A$28 = "Terza visita ulteriore", "X", "")</f>
        <v/>
      </c>
      <c r="J105" s="8"/>
      <c r="K105" s="8"/>
      <c r="L105" s="43"/>
      <c r="M105" s="50" t="str">
        <f>IF(Bozza!$A$28 = "Lettura biblica", "X", "")</f>
        <v/>
      </c>
      <c r="N105" s="8"/>
      <c r="O105" s="8"/>
      <c r="P105" s="8"/>
      <c r="Q105" s="8"/>
      <c r="R105" s="8"/>
      <c r="S105" s="8"/>
      <c r="T105" s="50" t="str">
        <f>IF(Bozza!$A$28 = "Terza visita ulteriore", "X", "")</f>
        <v/>
      </c>
      <c r="U105" s="43"/>
    </row>
    <row r="106" spans="2:21" ht="6.75" customHeight="1">
      <c r="B106" s="50"/>
      <c r="C106" s="8"/>
      <c r="D106" s="8"/>
      <c r="E106" s="8"/>
      <c r="F106" s="8"/>
      <c r="G106" s="8"/>
      <c r="H106" s="8"/>
      <c r="I106" s="50"/>
      <c r="J106" s="8"/>
      <c r="K106" s="8"/>
      <c r="L106" s="43"/>
      <c r="M106" s="50"/>
      <c r="N106" s="8"/>
      <c r="O106" s="8"/>
      <c r="P106" s="8"/>
      <c r="Q106" s="8"/>
      <c r="R106" s="8"/>
      <c r="S106" s="8"/>
      <c r="T106" s="50"/>
      <c r="U106" s="43"/>
    </row>
    <row r="107" spans="2:21" ht="6" customHeight="1">
      <c r="B107" s="50" t="str">
        <f>IF(Bozza!$A$28 = "Primo contatto", "X", "")</f>
        <v/>
      </c>
      <c r="C107" s="8"/>
      <c r="D107" s="8"/>
      <c r="E107" s="8"/>
      <c r="F107" s="8"/>
      <c r="G107" s="8"/>
      <c r="H107" s="8"/>
      <c r="I107" s="50" t="str">
        <f>IF(Bozza!$A$28 = "Studio biblico", "X", "")</f>
        <v/>
      </c>
      <c r="J107" s="8"/>
      <c r="K107" s="8"/>
      <c r="L107" s="43"/>
      <c r="M107" s="50" t="str">
        <f>IF(Bozza!$A$28 = "Primo contatto", "X", "")</f>
        <v/>
      </c>
      <c r="N107" s="8"/>
      <c r="O107" s="8"/>
      <c r="P107" s="8"/>
      <c r="Q107" s="8"/>
      <c r="R107" s="8"/>
      <c r="S107" s="8"/>
      <c r="T107" s="50" t="str">
        <f>IF(Bozza!$A$28 = "Studio biblico", "X", "")</f>
        <v/>
      </c>
      <c r="U107" s="43"/>
    </row>
    <row r="108" spans="2:21" ht="6.75" customHeight="1">
      <c r="B108" s="50"/>
      <c r="C108" s="8"/>
      <c r="D108" s="8"/>
      <c r="E108" s="8"/>
      <c r="F108" s="8"/>
      <c r="G108" s="8"/>
      <c r="H108" s="8"/>
      <c r="I108" s="50"/>
      <c r="J108" s="8"/>
      <c r="K108" s="8"/>
      <c r="L108" s="43"/>
      <c r="M108" s="50"/>
      <c r="N108" s="8"/>
      <c r="O108" s="8"/>
      <c r="P108" s="8"/>
      <c r="Q108" s="8"/>
      <c r="R108" s="8"/>
      <c r="S108" s="8"/>
      <c r="T108" s="50"/>
      <c r="U108" s="43"/>
    </row>
    <row r="109" spans="2:21" ht="8" customHeight="1">
      <c r="B109" s="50" t="str">
        <f>IF(Bozza!$A$28 = "Prima visita ulteriore", "X", "")</f>
        <v/>
      </c>
      <c r="C109" s="8"/>
      <c r="D109" s="8"/>
      <c r="E109" s="8"/>
      <c r="F109" s="8"/>
      <c r="G109" s="8"/>
      <c r="H109" s="8"/>
      <c r="I109" s="50" t="str">
        <f>IF(Bozza!$A$28 = "Discorso", "X", "")</f>
        <v/>
      </c>
      <c r="J109" s="8"/>
      <c r="K109" s="8"/>
      <c r="L109" s="43"/>
      <c r="M109" s="50" t="str">
        <f>IF(Bozza!$A$28 = "Prima visita ulteriore", "X", "")</f>
        <v/>
      </c>
      <c r="N109" s="8"/>
      <c r="O109" s="8"/>
      <c r="P109" s="8"/>
      <c r="Q109" s="8"/>
      <c r="R109" s="8"/>
      <c r="S109" s="8"/>
      <c r="T109" s="50" t="str">
        <f>IF(Bozza!$A$28 = "Discorso", "X", "")</f>
        <v/>
      </c>
      <c r="U109" s="43"/>
    </row>
    <row r="110" spans="2:21" ht="6" customHeight="1">
      <c r="B110" s="50"/>
      <c r="C110" s="8"/>
      <c r="D110" s="8"/>
      <c r="E110" s="8"/>
      <c r="F110" s="8"/>
      <c r="G110" s="8"/>
      <c r="H110" s="8"/>
      <c r="I110" s="50"/>
      <c r="J110" s="8"/>
      <c r="K110" s="8"/>
      <c r="L110" s="43"/>
      <c r="M110" s="50"/>
      <c r="N110" s="8"/>
      <c r="O110" s="8"/>
      <c r="P110" s="8"/>
      <c r="Q110" s="8"/>
      <c r="R110" s="8"/>
      <c r="S110" s="8"/>
      <c r="T110" s="50"/>
      <c r="U110" s="43"/>
    </row>
    <row r="111" spans="2:21" ht="7.5" customHeight="1">
      <c r="B111" s="50" t="str">
        <f>IF(Bozza!$A$28 = "Seconda visita ulteriore", "X", "")</f>
        <v/>
      </c>
      <c r="C111" s="8"/>
      <c r="D111" s="8"/>
      <c r="E111" s="8"/>
      <c r="F111" s="8"/>
      <c r="G111" s="8"/>
      <c r="H111" s="8"/>
      <c r="I111" s="50"/>
      <c r="J111" s="8"/>
      <c r="K111" s="8"/>
      <c r="L111" s="43"/>
      <c r="M111" s="50" t="str">
        <f>IF(Bozza!$A$28 = "Seconda visita ulteriore", "X", "")</f>
        <v/>
      </c>
      <c r="N111" s="8"/>
      <c r="O111" s="8"/>
      <c r="P111" s="8"/>
      <c r="Q111" s="8"/>
      <c r="R111" s="8"/>
      <c r="S111" s="8"/>
      <c r="T111" s="50"/>
      <c r="U111" s="43"/>
    </row>
    <row r="112" spans="2:21" ht="24" customHeight="1">
      <c r="C112" s="8"/>
      <c r="D112" s="8"/>
      <c r="E112" s="8"/>
      <c r="F112" s="8"/>
      <c r="G112" s="8"/>
      <c r="H112" s="8"/>
      <c r="J112" s="8"/>
      <c r="K112" s="8"/>
      <c r="L112" s="43"/>
      <c r="N112" s="43"/>
      <c r="O112" s="43"/>
      <c r="P112" s="43"/>
      <c r="Q112" s="43"/>
      <c r="R112" s="43"/>
      <c r="S112" s="43"/>
      <c r="U112" s="43"/>
    </row>
    <row r="113" spans="1:23" ht="6.75" customHeight="1">
      <c r="A113" s="8"/>
      <c r="B113" s="54" t="s">
        <v>16</v>
      </c>
      <c r="C113" s="8"/>
      <c r="D113" s="8"/>
      <c r="E113" s="155"/>
      <c r="F113" s="155"/>
      <c r="G113" s="155"/>
      <c r="H113" s="155"/>
      <c r="J113" s="8"/>
      <c r="K113" s="8"/>
      <c r="L113" s="49"/>
      <c r="N113" s="49"/>
      <c r="O113" s="49"/>
      <c r="P113" s="156"/>
      <c r="Q113" s="156"/>
      <c r="R113" s="156"/>
      <c r="S113" s="156"/>
      <c r="U113" s="49"/>
      <c r="V113" s="8"/>
      <c r="W113" s="8"/>
    </row>
    <row r="114" spans="1:23" s="8" customFormat="1" ht="6.75" customHeight="1">
      <c r="B114" s="54"/>
      <c r="E114" s="48"/>
      <c r="F114" s="48"/>
      <c r="G114" s="48"/>
      <c r="H114" s="48"/>
      <c r="I114" s="54"/>
      <c r="L114" s="49"/>
      <c r="M114" s="54"/>
      <c r="N114" s="49"/>
      <c r="O114" s="49"/>
      <c r="P114" s="49"/>
      <c r="Q114" s="49"/>
      <c r="R114" s="49"/>
      <c r="S114" s="49"/>
      <c r="T114" s="54"/>
      <c r="U114" s="49"/>
    </row>
    <row r="115" spans="1:23" s="8" customFormat="1" ht="7" customHeight="1">
      <c r="B115" s="54"/>
      <c r="E115" s="48"/>
      <c r="F115" s="48"/>
      <c r="G115" s="48"/>
      <c r="H115" s="48"/>
      <c r="I115" s="54"/>
      <c r="L115" s="49"/>
      <c r="M115" s="54" t="s">
        <v>16</v>
      </c>
      <c r="N115" s="49"/>
      <c r="O115" s="49"/>
      <c r="P115" s="49"/>
      <c r="Q115" s="49"/>
      <c r="R115" s="49"/>
      <c r="S115" s="49"/>
      <c r="T115" s="54"/>
      <c r="U115" s="49"/>
    </row>
    <row r="116" spans="1:23" s="8" customFormat="1" ht="6.75" customHeight="1">
      <c r="B116" s="54"/>
      <c r="E116" s="45"/>
      <c r="F116" s="45"/>
      <c r="G116" s="45"/>
      <c r="H116" s="45"/>
      <c r="I116" s="54"/>
      <c r="L116" s="46"/>
      <c r="M116" s="54"/>
      <c r="N116" s="46"/>
      <c r="O116" s="46"/>
      <c r="P116" s="46"/>
      <c r="Q116" s="46"/>
      <c r="R116" s="46"/>
      <c r="S116" s="46"/>
      <c r="T116" s="54"/>
      <c r="U116" s="46"/>
    </row>
    <row r="117" spans="1:23" s="8" customFormat="1" ht="7" customHeight="1">
      <c r="B117" s="54"/>
      <c r="E117" s="45"/>
      <c r="F117" s="45"/>
      <c r="G117" s="45"/>
      <c r="H117" s="45"/>
      <c r="I117" s="54"/>
      <c r="L117" s="46"/>
      <c r="M117" s="54"/>
      <c r="N117" s="46"/>
      <c r="O117" s="46"/>
      <c r="P117" s="46"/>
      <c r="Q117" s="46"/>
      <c r="R117" s="46"/>
      <c r="S117" s="46"/>
      <c r="T117" s="54"/>
      <c r="U117" s="46"/>
    </row>
    <row r="118" spans="1:23" ht="90" customHeight="1">
      <c r="C118" s="8"/>
      <c r="D118" s="8"/>
      <c r="E118" s="8"/>
      <c r="F118" s="8"/>
      <c r="G118" s="8"/>
      <c r="H118" s="8"/>
      <c r="J118" s="8"/>
      <c r="K118" s="8"/>
      <c r="L118" s="43"/>
      <c r="N118" s="43"/>
      <c r="O118" s="43"/>
      <c r="P118" s="43"/>
      <c r="Q118" s="43"/>
      <c r="R118" s="43"/>
      <c r="S118" s="43"/>
      <c r="U118" s="43"/>
    </row>
    <row r="119" spans="1:23" ht="68.25" customHeight="1">
      <c r="C119" s="8"/>
      <c r="D119" s="8"/>
      <c r="E119" s="8"/>
      <c r="F119" s="8"/>
      <c r="G119" s="8"/>
      <c r="H119" s="8"/>
      <c r="J119" s="8"/>
      <c r="K119" s="8"/>
      <c r="L119" s="43"/>
      <c r="N119" s="43"/>
      <c r="O119" s="43"/>
      <c r="P119" s="43"/>
      <c r="Q119" s="43"/>
      <c r="R119" s="43"/>
      <c r="S119" s="43"/>
      <c r="U119" s="43"/>
    </row>
    <row r="120" spans="1:23" ht="12" customHeight="1">
      <c r="C120" s="8"/>
      <c r="D120" s="8"/>
      <c r="E120" s="8"/>
      <c r="F120" s="8"/>
      <c r="G120" s="8"/>
      <c r="H120" s="155">
        <f>Bozza!$C$30</f>
        <v>0</v>
      </c>
      <c r="I120" s="155"/>
      <c r="J120" s="155"/>
      <c r="K120" s="8"/>
      <c r="L120" s="43"/>
      <c r="N120" s="43"/>
      <c r="O120" s="43"/>
      <c r="P120" s="43"/>
      <c r="Q120" s="43"/>
      <c r="R120" s="43"/>
      <c r="S120" s="159">
        <f>Bozza!F30</f>
        <v>0</v>
      </c>
      <c r="T120" s="159"/>
      <c r="U120" s="159"/>
    </row>
    <row r="121" spans="1:23" ht="11.25" customHeight="1">
      <c r="C121" s="8"/>
      <c r="D121" s="8"/>
      <c r="E121" s="8"/>
      <c r="F121" s="8"/>
      <c r="G121" s="8"/>
      <c r="H121" s="8"/>
      <c r="J121" s="8"/>
      <c r="K121" s="8"/>
      <c r="L121" s="43"/>
      <c r="N121" s="43"/>
      <c r="O121" s="43"/>
      <c r="P121" s="43"/>
      <c r="Q121" s="43"/>
      <c r="R121" s="43"/>
      <c r="S121" s="43"/>
      <c r="U121" s="43"/>
    </row>
    <row r="122" spans="1:23" ht="16" customHeight="1">
      <c r="C122" s="8"/>
      <c r="D122" s="8"/>
      <c r="E122" s="8"/>
      <c r="F122" s="155">
        <f>Bozza!$C$31</f>
        <v>0</v>
      </c>
      <c r="G122" s="155"/>
      <c r="H122" s="155"/>
      <c r="I122" s="155"/>
      <c r="J122" s="155"/>
      <c r="K122" s="8"/>
      <c r="L122" s="43"/>
      <c r="N122" s="43"/>
      <c r="O122" s="43"/>
      <c r="P122" s="43"/>
      <c r="Q122" s="158">
        <f>Bozza!$F$31</f>
        <v>0</v>
      </c>
      <c r="R122" s="158"/>
      <c r="S122" s="158"/>
      <c r="T122" s="158"/>
      <c r="U122" s="158"/>
    </row>
    <row r="123" spans="1:23" ht="11.25" customHeight="1">
      <c r="C123" s="8"/>
      <c r="D123" s="8"/>
      <c r="E123" s="8"/>
      <c r="F123" s="8"/>
      <c r="G123" s="8"/>
      <c r="H123" s="8"/>
      <c r="J123" s="8"/>
      <c r="K123" s="8"/>
      <c r="L123" s="43"/>
      <c r="N123" s="43"/>
      <c r="O123" s="43"/>
      <c r="P123" s="43"/>
      <c r="Q123" s="43"/>
      <c r="R123" s="43"/>
      <c r="S123" s="43"/>
      <c r="U123" s="43"/>
    </row>
    <row r="124" spans="1:23" ht="18" customHeight="1">
      <c r="C124" s="8"/>
      <c r="D124" s="157">
        <f>D101</f>
        <v>7</v>
      </c>
      <c r="E124" s="157"/>
      <c r="F124" s="157"/>
      <c r="G124" s="157"/>
      <c r="H124" s="157"/>
      <c r="I124" s="157"/>
      <c r="J124" s="157"/>
      <c r="K124" s="8"/>
      <c r="L124" s="43"/>
      <c r="N124" s="43"/>
      <c r="O124" s="157">
        <f>D124</f>
        <v>7</v>
      </c>
      <c r="P124" s="157"/>
      <c r="Q124" s="157"/>
      <c r="R124" s="157"/>
      <c r="S124" s="157"/>
      <c r="T124" s="157"/>
      <c r="U124" s="157"/>
    </row>
    <row r="125" spans="1:23" ht="13.5" customHeight="1">
      <c r="C125" s="8"/>
      <c r="D125" s="8"/>
      <c r="E125" s="8"/>
      <c r="F125" s="8"/>
      <c r="G125" s="8"/>
      <c r="H125" s="8"/>
      <c r="J125" s="8"/>
      <c r="K125" s="8"/>
      <c r="L125" s="43"/>
      <c r="N125" s="43"/>
      <c r="O125" s="43"/>
      <c r="P125" s="43"/>
      <c r="Q125" s="43"/>
      <c r="R125" s="43"/>
      <c r="S125" s="43"/>
      <c r="U125" s="43"/>
    </row>
    <row r="126" spans="1:23" ht="13.5" customHeight="1">
      <c r="C126" s="8"/>
      <c r="D126" s="8"/>
      <c r="E126" s="8"/>
      <c r="F126" s="8"/>
      <c r="G126" s="156">
        <f>Bozza!$E$30</f>
        <v>0</v>
      </c>
      <c r="H126" s="156"/>
      <c r="I126" s="156"/>
      <c r="J126" s="156"/>
      <c r="K126" s="8"/>
      <c r="L126" s="43"/>
      <c r="N126" s="43"/>
      <c r="O126" s="43"/>
      <c r="P126" s="43"/>
      <c r="Q126" s="43"/>
      <c r="R126" s="156">
        <f>Bozza!H30</f>
        <v>0</v>
      </c>
      <c r="S126" s="156"/>
      <c r="T126" s="156"/>
      <c r="U126" s="156"/>
    </row>
    <row r="127" spans="1:23" ht="34" customHeight="1">
      <c r="C127" s="8"/>
      <c r="D127" s="8"/>
      <c r="E127" s="8"/>
      <c r="F127" s="8"/>
      <c r="G127" s="8"/>
      <c r="H127" s="8"/>
      <c r="J127" s="8"/>
      <c r="K127" s="8"/>
      <c r="L127" s="43"/>
      <c r="N127" s="43"/>
      <c r="O127" s="43"/>
      <c r="P127" s="43"/>
      <c r="Q127" s="43"/>
      <c r="R127" s="43"/>
      <c r="S127" s="43"/>
      <c r="U127" s="43"/>
    </row>
    <row r="128" spans="1:23" ht="6" customHeight="1">
      <c r="B128" s="50" t="str">
        <f>IF(Bozza!$A$30 = "Lettura biblica", "X", "")</f>
        <v/>
      </c>
      <c r="C128" s="8"/>
      <c r="D128" s="8"/>
      <c r="E128" s="8"/>
      <c r="F128" s="8"/>
      <c r="G128" s="8"/>
      <c r="H128" s="8"/>
      <c r="I128" s="50" t="str">
        <f>IF(Bozza!$A$30 = "Terza visita ulteriore", "X", "")</f>
        <v/>
      </c>
      <c r="J128" s="8"/>
      <c r="K128" s="8"/>
      <c r="L128" s="43"/>
      <c r="M128" s="50" t="str">
        <f>IF(Bozza!$A$30 = "Lettura biblica", "X", "")</f>
        <v/>
      </c>
      <c r="N128" s="8"/>
      <c r="O128" s="8"/>
      <c r="P128" s="8"/>
      <c r="Q128" s="8"/>
      <c r="R128" s="8"/>
      <c r="S128" s="8"/>
      <c r="T128" s="50" t="str">
        <f>IF(Bozza!$A$30 = "Terza visita ulteriore", "X", "")</f>
        <v/>
      </c>
      <c r="U128" s="43"/>
    </row>
    <row r="129" spans="1:23" ht="6.75" customHeight="1">
      <c r="B129" s="50"/>
      <c r="C129" s="8"/>
      <c r="D129" s="8"/>
      <c r="E129" s="8"/>
      <c r="F129" s="8"/>
      <c r="G129" s="8"/>
      <c r="H129" s="8"/>
      <c r="I129" s="50"/>
      <c r="J129" s="8"/>
      <c r="K129" s="8"/>
      <c r="L129" s="43"/>
      <c r="M129" s="50"/>
      <c r="N129" s="8"/>
      <c r="O129" s="8"/>
      <c r="P129" s="8"/>
      <c r="Q129" s="8"/>
      <c r="R129" s="8"/>
      <c r="S129" s="8"/>
      <c r="T129" s="50"/>
      <c r="U129" s="43"/>
    </row>
    <row r="130" spans="1:23" ht="8" customHeight="1">
      <c r="B130" s="50" t="str">
        <f>IF(Bozza!$A$30 = "Primo contatto", "X", "")</f>
        <v/>
      </c>
      <c r="C130" s="8"/>
      <c r="D130" s="8"/>
      <c r="E130" s="8"/>
      <c r="F130" s="8"/>
      <c r="G130" s="8"/>
      <c r="H130" s="8"/>
      <c r="I130" s="50" t="str">
        <f>IF(Bozza!$A$30 = "Studio biblico", "X", "")</f>
        <v/>
      </c>
      <c r="J130" s="8"/>
      <c r="K130" s="8"/>
      <c r="L130" s="43"/>
      <c r="M130" s="50" t="str">
        <f>IF(Bozza!$A$30 = "Primo contatto", "X", "")</f>
        <v/>
      </c>
      <c r="N130" s="8"/>
      <c r="O130" s="8"/>
      <c r="P130" s="8"/>
      <c r="Q130" s="8"/>
      <c r="R130" s="8"/>
      <c r="S130" s="8"/>
      <c r="T130" s="50" t="str">
        <f>IF(Bozza!$A$30 = "Studio biblico", "X", "")</f>
        <v/>
      </c>
      <c r="U130" s="43"/>
    </row>
    <row r="131" spans="1:23" ht="7.5" customHeight="1">
      <c r="B131" s="50"/>
      <c r="C131" s="8"/>
      <c r="D131" s="8"/>
      <c r="E131" s="8"/>
      <c r="F131" s="8"/>
      <c r="G131" s="8"/>
      <c r="H131" s="8"/>
      <c r="I131" s="50"/>
      <c r="J131" s="8"/>
      <c r="K131" s="8"/>
      <c r="L131" s="43"/>
      <c r="M131" s="50"/>
      <c r="N131" s="8"/>
      <c r="O131" s="8"/>
      <c r="P131" s="8"/>
      <c r="Q131" s="8"/>
      <c r="R131" s="8"/>
      <c r="S131" s="8"/>
      <c r="T131" s="50"/>
      <c r="U131" s="43"/>
    </row>
    <row r="132" spans="1:23" ht="6" customHeight="1">
      <c r="B132" s="50" t="str">
        <f>IF(Bozza!$A$30 = "Prima visita ulteriore", "X", "")</f>
        <v/>
      </c>
      <c r="C132" s="8"/>
      <c r="D132" s="8"/>
      <c r="E132" s="8"/>
      <c r="F132" s="8"/>
      <c r="G132" s="8"/>
      <c r="H132" s="8"/>
      <c r="I132" s="50" t="str">
        <f>IF(Bozza!$A$30 = "Discorso", "X", "")</f>
        <v/>
      </c>
      <c r="J132" s="8"/>
      <c r="K132" s="8"/>
      <c r="L132" s="43"/>
      <c r="M132" s="50" t="str">
        <f>IF(Bozza!$A$30 = "Prima visita ulteriore", "X", "")</f>
        <v/>
      </c>
      <c r="N132" s="8"/>
      <c r="O132" s="8"/>
      <c r="P132" s="8"/>
      <c r="Q132" s="8"/>
      <c r="R132" s="8"/>
      <c r="S132" s="8"/>
      <c r="T132" s="50" t="str">
        <f>IF(Bozza!$A$30 = "Discorso", "X", "")</f>
        <v/>
      </c>
      <c r="U132" s="43"/>
    </row>
    <row r="133" spans="1:23" ht="6" customHeight="1">
      <c r="B133" s="50"/>
      <c r="C133" s="8"/>
      <c r="D133" s="8"/>
      <c r="E133" s="8"/>
      <c r="F133" s="8"/>
      <c r="G133" s="8"/>
      <c r="H133" s="8"/>
      <c r="I133" s="50"/>
      <c r="J133" s="8"/>
      <c r="K133" s="8"/>
      <c r="L133" s="43"/>
      <c r="M133" s="50"/>
      <c r="N133" s="8"/>
      <c r="O133" s="8"/>
      <c r="P133" s="8"/>
      <c r="Q133" s="8"/>
      <c r="R133" s="8"/>
      <c r="S133" s="8"/>
      <c r="T133" s="50"/>
      <c r="U133" s="43"/>
    </row>
    <row r="134" spans="1:23" ht="7.5" customHeight="1">
      <c r="B134" s="50" t="str">
        <f>IF(Bozza!$A$30 = "Seconda visita ulteriore", "X", "")</f>
        <v/>
      </c>
      <c r="C134" s="8"/>
      <c r="D134" s="8"/>
      <c r="E134" s="8"/>
      <c r="F134" s="8"/>
      <c r="G134" s="8"/>
      <c r="H134" s="8"/>
      <c r="I134" s="50"/>
      <c r="J134" s="8"/>
      <c r="K134" s="8"/>
      <c r="L134" s="43"/>
      <c r="M134" s="50" t="str">
        <f>IF(Bozza!$A$30 = "Seconda visita ulteriore", "X", "")</f>
        <v/>
      </c>
      <c r="N134" s="8"/>
      <c r="O134" s="8"/>
      <c r="P134" s="8"/>
      <c r="Q134" s="8"/>
      <c r="R134" s="8"/>
      <c r="S134" s="8"/>
      <c r="T134" s="50"/>
      <c r="U134" s="43"/>
    </row>
    <row r="135" spans="1:23" ht="24" customHeight="1">
      <c r="C135" s="8"/>
      <c r="D135" s="8"/>
      <c r="E135" s="8"/>
      <c r="F135" s="8"/>
      <c r="G135" s="8"/>
      <c r="H135" s="8"/>
      <c r="J135" s="8"/>
      <c r="K135" s="8"/>
      <c r="L135" s="43"/>
      <c r="N135" s="43"/>
      <c r="O135" s="43"/>
      <c r="P135" s="43"/>
      <c r="Q135" s="43"/>
      <c r="R135" s="43"/>
      <c r="S135" s="43"/>
      <c r="U135" s="43"/>
    </row>
    <row r="136" spans="1:23" ht="6.75" customHeight="1">
      <c r="A136" s="8"/>
      <c r="B136" s="54" t="s">
        <v>16</v>
      </c>
      <c r="C136" s="8"/>
      <c r="D136" s="8"/>
      <c r="E136" s="155"/>
      <c r="F136" s="155"/>
      <c r="G136" s="155"/>
      <c r="H136" s="155"/>
      <c r="J136" s="8"/>
      <c r="K136" s="8"/>
      <c r="L136" s="49"/>
      <c r="N136" s="49"/>
      <c r="O136" s="49"/>
      <c r="P136" s="156"/>
      <c r="Q136" s="156"/>
      <c r="R136" s="156"/>
      <c r="S136" s="156"/>
      <c r="U136" s="49"/>
      <c r="V136" s="8"/>
      <c r="W136" s="8"/>
    </row>
    <row r="137" spans="1:23" s="8" customFormat="1" ht="6.75" customHeight="1">
      <c r="B137" s="54"/>
      <c r="E137" s="48"/>
      <c r="F137" s="48"/>
      <c r="G137" s="48"/>
      <c r="H137" s="48"/>
      <c r="I137" s="54"/>
      <c r="L137" s="49"/>
      <c r="M137" s="54"/>
      <c r="N137" s="49"/>
      <c r="O137" s="49"/>
      <c r="P137" s="49"/>
      <c r="Q137" s="49"/>
      <c r="R137" s="49"/>
      <c r="S137" s="49"/>
      <c r="T137" s="54"/>
      <c r="U137" s="49"/>
    </row>
    <row r="138" spans="1:23" s="8" customFormat="1" ht="7" customHeight="1">
      <c r="B138" s="54"/>
      <c r="E138" s="48"/>
      <c r="F138" s="48"/>
      <c r="G138" s="48"/>
      <c r="H138" s="48"/>
      <c r="I138" s="54"/>
      <c r="L138" s="49"/>
      <c r="M138" s="54" t="s">
        <v>16</v>
      </c>
      <c r="N138" s="49"/>
      <c r="O138" s="49"/>
      <c r="P138" s="49"/>
      <c r="Q138" s="49"/>
      <c r="R138" s="49"/>
      <c r="S138" s="49"/>
      <c r="T138" s="54"/>
      <c r="U138" s="49"/>
    </row>
    <row r="139" spans="1:23" s="8" customFormat="1" ht="6.75" customHeight="1">
      <c r="B139" s="54"/>
      <c r="E139" s="45"/>
      <c r="F139" s="45"/>
      <c r="G139" s="45"/>
      <c r="H139" s="45"/>
      <c r="I139" s="54"/>
      <c r="L139" s="46"/>
      <c r="M139" s="54"/>
      <c r="N139" s="46"/>
      <c r="O139" s="46"/>
      <c r="P139" s="46"/>
      <c r="Q139" s="46"/>
      <c r="R139" s="46"/>
      <c r="S139" s="46"/>
      <c r="T139" s="54"/>
      <c r="U139" s="46"/>
    </row>
    <row r="140" spans="1:23" s="8" customFormat="1" ht="8" customHeight="1">
      <c r="B140" s="54"/>
      <c r="E140" s="45"/>
      <c r="F140" s="45"/>
      <c r="G140" s="45"/>
      <c r="H140" s="45"/>
      <c r="I140" s="54"/>
      <c r="L140" s="46"/>
      <c r="M140" s="54"/>
      <c r="N140" s="46"/>
      <c r="O140" s="46"/>
      <c r="P140" s="46"/>
      <c r="Q140" s="46"/>
      <c r="R140" s="46"/>
      <c r="S140" s="46"/>
      <c r="T140" s="54"/>
      <c r="U140" s="46"/>
    </row>
    <row r="141" spans="1:23" ht="91" customHeight="1">
      <c r="C141" s="8"/>
      <c r="D141" s="8"/>
      <c r="E141" s="8"/>
      <c r="F141" s="8"/>
      <c r="G141" s="8"/>
      <c r="H141" s="8"/>
      <c r="J141" s="8"/>
      <c r="K141" s="8"/>
      <c r="L141" s="43"/>
      <c r="N141" s="43"/>
      <c r="O141" s="43"/>
      <c r="P141" s="43"/>
      <c r="Q141" s="43"/>
      <c r="R141" s="43"/>
      <c r="S141" s="43"/>
      <c r="U141" s="43"/>
    </row>
    <row r="142" spans="1:23" ht="68.25" customHeight="1">
      <c r="C142" s="8"/>
      <c r="D142" s="8"/>
      <c r="E142" s="8"/>
      <c r="F142" s="8"/>
      <c r="G142" s="8"/>
      <c r="H142" s="8"/>
      <c r="J142" s="8"/>
      <c r="K142" s="8"/>
      <c r="L142" s="43"/>
      <c r="N142" s="43"/>
      <c r="O142" s="43"/>
      <c r="P142" s="43"/>
      <c r="Q142" s="43"/>
      <c r="R142" s="43"/>
      <c r="S142" s="43"/>
      <c r="U142" s="43"/>
    </row>
    <row r="143" spans="1:23" ht="12" customHeight="1">
      <c r="C143" s="8"/>
      <c r="D143" s="8"/>
      <c r="E143" s="8"/>
      <c r="F143" s="8"/>
      <c r="G143" s="8"/>
      <c r="H143" s="155">
        <f>Bozza!$C$32</f>
        <v>0</v>
      </c>
      <c r="I143" s="155"/>
      <c r="J143" s="155"/>
      <c r="K143" s="8"/>
      <c r="L143" s="43"/>
      <c r="N143" s="43"/>
      <c r="O143" s="43"/>
      <c r="P143" s="43"/>
      <c r="Q143" s="43"/>
      <c r="R143" s="43"/>
      <c r="S143" s="158">
        <f>Bozza!F26</f>
        <v>0</v>
      </c>
      <c r="T143" s="158"/>
      <c r="U143" s="158"/>
    </row>
    <row r="144" spans="1:23" ht="11.25" customHeight="1">
      <c r="C144" s="8"/>
      <c r="D144" s="8"/>
      <c r="E144" s="8"/>
      <c r="F144" s="8"/>
      <c r="G144" s="8"/>
      <c r="H144" s="8"/>
      <c r="J144" s="8"/>
      <c r="K144" s="8"/>
      <c r="L144" s="43"/>
      <c r="N144" s="43"/>
      <c r="O144" s="43"/>
      <c r="P144" s="43"/>
      <c r="Q144" s="43"/>
      <c r="R144" s="43"/>
      <c r="S144" s="43"/>
      <c r="U144" s="43"/>
    </row>
    <row r="145" spans="1:23" ht="16" customHeight="1">
      <c r="C145" s="8"/>
      <c r="D145" s="8"/>
      <c r="E145" s="8"/>
      <c r="F145" s="155">
        <f>Bozza!$C$33</f>
        <v>0</v>
      </c>
      <c r="G145" s="155"/>
      <c r="H145" s="155"/>
      <c r="I145" s="155"/>
      <c r="J145" s="155"/>
      <c r="K145" s="8"/>
      <c r="L145" s="43"/>
      <c r="N145" s="43"/>
      <c r="O145" s="43"/>
      <c r="P145" s="43"/>
      <c r="Q145" s="156">
        <f>Bozza!F33</f>
        <v>0</v>
      </c>
      <c r="R145" s="156"/>
      <c r="S145" s="156"/>
      <c r="T145" s="156"/>
      <c r="U145" s="156"/>
    </row>
    <row r="146" spans="1:23" ht="11.25" customHeight="1">
      <c r="C146" s="8"/>
      <c r="D146" s="8"/>
      <c r="E146" s="8"/>
      <c r="F146" s="8"/>
      <c r="G146" s="8"/>
      <c r="H146" s="8"/>
      <c r="J146" s="8"/>
      <c r="K146" s="8"/>
      <c r="L146" s="43"/>
      <c r="N146" s="43"/>
      <c r="O146" s="43"/>
      <c r="P146" s="43"/>
      <c r="Q146" s="43"/>
      <c r="R146" s="43"/>
      <c r="S146" s="43"/>
      <c r="U146" s="43"/>
    </row>
    <row r="147" spans="1:23" ht="17" customHeight="1">
      <c r="C147" s="8"/>
      <c r="D147" s="157">
        <f>D124</f>
        <v>7</v>
      </c>
      <c r="E147" s="157"/>
      <c r="F147" s="157"/>
      <c r="G147" s="157"/>
      <c r="H147" s="157"/>
      <c r="I147" s="157"/>
      <c r="J147" s="157"/>
      <c r="K147" s="8"/>
      <c r="L147" s="43"/>
      <c r="N147" s="43"/>
      <c r="O147" s="157">
        <f>D147</f>
        <v>7</v>
      </c>
      <c r="P147" s="157"/>
      <c r="Q147" s="157"/>
      <c r="R147" s="157"/>
      <c r="S147" s="157"/>
      <c r="T147" s="157"/>
      <c r="U147" s="157"/>
    </row>
    <row r="148" spans="1:23" ht="13.5" customHeight="1">
      <c r="C148" s="8"/>
      <c r="D148" s="8"/>
      <c r="E148" s="8"/>
      <c r="F148" s="8"/>
      <c r="G148" s="8"/>
      <c r="H148" s="8"/>
      <c r="J148" s="8"/>
      <c r="K148" s="8"/>
      <c r="L148" s="43"/>
      <c r="N148" s="43"/>
      <c r="O148" s="43"/>
      <c r="P148" s="43"/>
      <c r="Q148" s="43"/>
      <c r="R148" s="43"/>
      <c r="S148" s="43"/>
      <c r="U148" s="43"/>
    </row>
    <row r="149" spans="1:23" ht="15" customHeight="1">
      <c r="C149" s="8"/>
      <c r="D149" s="8"/>
      <c r="E149" s="8"/>
      <c r="F149" s="8"/>
      <c r="G149" s="156">
        <f>Bozza!$E$32</f>
        <v>0</v>
      </c>
      <c r="H149" s="156"/>
      <c r="I149" s="156"/>
      <c r="J149" s="156"/>
      <c r="K149" s="8"/>
      <c r="L149" s="43"/>
      <c r="N149" s="43"/>
      <c r="O149" s="43"/>
      <c r="P149" s="43"/>
      <c r="Q149" s="43"/>
      <c r="R149" s="156">
        <f>Bozza!H32</f>
        <v>0</v>
      </c>
      <c r="S149" s="156"/>
      <c r="T149" s="156"/>
      <c r="U149" s="156"/>
    </row>
    <row r="150" spans="1:23" ht="34" customHeight="1">
      <c r="C150" s="8"/>
      <c r="D150" s="8"/>
      <c r="E150" s="8"/>
      <c r="F150" s="8"/>
      <c r="G150" s="8"/>
      <c r="H150" s="8"/>
      <c r="J150" s="8"/>
      <c r="K150" s="8"/>
      <c r="L150" s="43"/>
      <c r="N150" s="43"/>
      <c r="O150" s="43"/>
      <c r="P150" s="43"/>
      <c r="Q150" s="43"/>
      <c r="R150" s="43"/>
      <c r="S150" s="43"/>
      <c r="U150" s="43"/>
    </row>
    <row r="151" spans="1:23" ht="6" customHeight="1">
      <c r="B151" s="50" t="str">
        <f>IF(Bozza!$A$32 = "Lettura biblica", "X", "")</f>
        <v/>
      </c>
      <c r="C151" s="8"/>
      <c r="D151" s="8"/>
      <c r="E151" s="8"/>
      <c r="F151" s="8"/>
      <c r="G151" s="8"/>
      <c r="H151" s="8"/>
      <c r="I151" s="50" t="str">
        <f>IF(Bozza!$A$32 = "Terza visita ulteriore", "X", "")</f>
        <v/>
      </c>
      <c r="J151" s="8"/>
      <c r="K151" s="8"/>
      <c r="L151" s="43"/>
      <c r="M151" s="50" t="str">
        <f>IF(Bozza!$A$32 = "Lettura biblica", "X", "")</f>
        <v/>
      </c>
      <c r="N151" s="8"/>
      <c r="O151" s="8"/>
      <c r="P151" s="8"/>
      <c r="Q151" s="8"/>
      <c r="R151" s="8"/>
      <c r="S151" s="8"/>
      <c r="T151" s="50" t="str">
        <f>IF(Bozza!$A$32 = "Terza visita ulteriore", "X", "")</f>
        <v/>
      </c>
      <c r="U151" s="43"/>
    </row>
    <row r="152" spans="1:23" ht="6.75" customHeight="1">
      <c r="B152" s="50"/>
      <c r="C152" s="8"/>
      <c r="D152" s="8"/>
      <c r="E152" s="8"/>
      <c r="F152" s="8"/>
      <c r="G152" s="8"/>
      <c r="H152" s="8"/>
      <c r="I152" s="50"/>
      <c r="J152" s="8"/>
      <c r="K152" s="8"/>
      <c r="L152" s="43"/>
      <c r="M152" s="50"/>
      <c r="N152" s="8"/>
      <c r="O152" s="8"/>
      <c r="P152" s="8"/>
      <c r="Q152" s="8"/>
      <c r="R152" s="8"/>
      <c r="S152" s="8"/>
      <c r="T152" s="50"/>
      <c r="U152" s="43"/>
    </row>
    <row r="153" spans="1:23" ht="6" customHeight="1">
      <c r="B153" s="50" t="str">
        <f>IF(Bozza!$A$32 = "Primo contatto", "X", "")</f>
        <v/>
      </c>
      <c r="C153" s="8"/>
      <c r="D153" s="8"/>
      <c r="E153" s="8"/>
      <c r="F153" s="8"/>
      <c r="G153" s="8"/>
      <c r="H153" s="8"/>
      <c r="I153" s="50" t="str">
        <f>IF(Bozza!$A$32 = "Studio biblico", "X", "")</f>
        <v/>
      </c>
      <c r="J153" s="8"/>
      <c r="K153" s="8"/>
      <c r="L153" s="43"/>
      <c r="M153" s="50" t="str">
        <f>IF(Bozza!$A$32 = "Primo contatto", "X", "")</f>
        <v/>
      </c>
      <c r="N153" s="8"/>
      <c r="O153" s="8"/>
      <c r="P153" s="8"/>
      <c r="Q153" s="8"/>
      <c r="R153" s="8"/>
      <c r="S153" s="8"/>
      <c r="T153" s="50" t="str">
        <f>IF(Bozza!$A$32 = "Studio biblico", "X", "")</f>
        <v/>
      </c>
      <c r="U153" s="43"/>
    </row>
    <row r="154" spans="1:23" ht="7.5" customHeight="1">
      <c r="B154" s="50"/>
      <c r="C154" s="8"/>
      <c r="D154" s="8"/>
      <c r="E154" s="8"/>
      <c r="F154" s="8"/>
      <c r="G154" s="8"/>
      <c r="H154" s="8"/>
      <c r="I154" s="50"/>
      <c r="J154" s="8"/>
      <c r="K154" s="8"/>
      <c r="L154" s="43"/>
      <c r="M154" s="50"/>
      <c r="N154" s="8"/>
      <c r="O154" s="8"/>
      <c r="P154" s="8"/>
      <c r="Q154" s="8"/>
      <c r="R154" s="8"/>
      <c r="S154" s="8"/>
      <c r="T154" s="50"/>
      <c r="U154" s="43"/>
    </row>
    <row r="155" spans="1:23" ht="6" customHeight="1">
      <c r="B155" s="50" t="str">
        <f>IF(Bozza!$A$32 = "Prima visita ulteriore", "X", "")</f>
        <v/>
      </c>
      <c r="C155" s="8"/>
      <c r="D155" s="8"/>
      <c r="E155" s="8"/>
      <c r="F155" s="8"/>
      <c r="G155" s="8"/>
      <c r="H155" s="8"/>
      <c r="I155" s="50" t="str">
        <f>IF(Bozza!$A$32 = "Discorso", "X", "")</f>
        <v/>
      </c>
      <c r="J155" s="8"/>
      <c r="K155" s="8"/>
      <c r="L155" s="43"/>
      <c r="M155" s="50" t="str">
        <f>IF(Bozza!$A$32 = "Prima visita ulteriore", "X", "")</f>
        <v/>
      </c>
      <c r="N155" s="8"/>
      <c r="O155" s="8"/>
      <c r="P155" s="8"/>
      <c r="Q155" s="8"/>
      <c r="R155" s="8"/>
      <c r="S155" s="8"/>
      <c r="T155" s="50" t="str">
        <f>IF(Bozza!$A$32 = "Discorso", "X", "")</f>
        <v/>
      </c>
      <c r="U155" s="43"/>
    </row>
    <row r="156" spans="1:23" ht="6" customHeight="1">
      <c r="B156" s="50"/>
      <c r="C156" s="8"/>
      <c r="D156" s="8"/>
      <c r="E156" s="8"/>
      <c r="F156" s="8"/>
      <c r="G156" s="8"/>
      <c r="H156" s="8"/>
      <c r="I156" s="50"/>
      <c r="J156" s="8"/>
      <c r="K156" s="8"/>
      <c r="L156" s="43"/>
      <c r="M156" s="50"/>
      <c r="N156" s="8"/>
      <c r="O156" s="8"/>
      <c r="P156" s="8"/>
      <c r="Q156" s="8"/>
      <c r="R156" s="8"/>
      <c r="S156" s="8"/>
      <c r="T156" s="50"/>
      <c r="U156" s="43"/>
    </row>
    <row r="157" spans="1:23" ht="7.5" customHeight="1">
      <c r="B157" s="50" t="str">
        <f>IF(Bozza!$A$32 = "Seconda visita ulteriore", "X", "")</f>
        <v/>
      </c>
      <c r="C157" s="8"/>
      <c r="D157" s="8"/>
      <c r="E157" s="8"/>
      <c r="F157" s="8"/>
      <c r="G157" s="8"/>
      <c r="H157" s="8"/>
      <c r="I157" s="50"/>
      <c r="J157" s="8"/>
      <c r="K157" s="8"/>
      <c r="L157" s="43"/>
      <c r="M157" s="50" t="str">
        <f>IF(Bozza!$A$32 = "Seconda visita ulteriore", "X", "")</f>
        <v/>
      </c>
      <c r="N157" s="8"/>
      <c r="O157" s="8"/>
      <c r="P157" s="8"/>
      <c r="Q157" s="8"/>
      <c r="R157" s="8"/>
      <c r="S157" s="8"/>
      <c r="T157" s="50"/>
      <c r="U157" s="43"/>
    </row>
    <row r="158" spans="1:23" ht="25" customHeight="1">
      <c r="C158" s="8"/>
      <c r="D158" s="8"/>
      <c r="E158" s="8"/>
      <c r="F158" s="8"/>
      <c r="G158" s="8"/>
      <c r="H158" s="8"/>
      <c r="J158" s="8"/>
      <c r="K158" s="8"/>
      <c r="L158" s="43"/>
      <c r="N158" s="43"/>
      <c r="O158" s="43"/>
      <c r="P158" s="43"/>
      <c r="Q158" s="43"/>
      <c r="R158" s="43"/>
      <c r="S158" s="43"/>
      <c r="U158" s="43"/>
    </row>
    <row r="159" spans="1:23" ht="6.75" customHeight="1">
      <c r="A159" s="8"/>
      <c r="B159" s="54" t="s">
        <v>16</v>
      </c>
      <c r="C159" s="8"/>
      <c r="D159" s="8"/>
      <c r="E159" s="155"/>
      <c r="F159" s="155"/>
      <c r="G159" s="155"/>
      <c r="H159" s="155"/>
      <c r="J159" s="8"/>
      <c r="K159" s="8"/>
      <c r="L159" s="49"/>
      <c r="N159" s="49"/>
      <c r="O159" s="49"/>
      <c r="P159" s="156"/>
      <c r="Q159" s="156"/>
      <c r="R159" s="156"/>
      <c r="S159" s="156"/>
      <c r="U159" s="49"/>
      <c r="V159" s="8"/>
      <c r="W159" s="8"/>
    </row>
    <row r="160" spans="1:23" s="8" customFormat="1" ht="6.75" customHeight="1">
      <c r="B160" s="54"/>
      <c r="E160" s="48"/>
      <c r="F160" s="48"/>
      <c r="G160" s="48"/>
      <c r="H160" s="48"/>
      <c r="I160" s="54"/>
      <c r="L160" s="49"/>
      <c r="M160" s="54"/>
      <c r="N160" s="49"/>
      <c r="O160" s="49"/>
      <c r="P160" s="49"/>
      <c r="Q160" s="49"/>
      <c r="R160" s="49"/>
      <c r="S160" s="49"/>
      <c r="T160" s="54"/>
      <c r="U160" s="49"/>
    </row>
    <row r="161" spans="2:21" s="8" customFormat="1" ht="8" customHeight="1">
      <c r="B161" s="54"/>
      <c r="E161" s="48"/>
      <c r="F161" s="48"/>
      <c r="G161" s="48"/>
      <c r="H161" s="48"/>
      <c r="I161" s="54"/>
      <c r="L161" s="49"/>
      <c r="M161" s="54" t="s">
        <v>16</v>
      </c>
      <c r="N161" s="49"/>
      <c r="O161" s="49"/>
      <c r="P161" s="49"/>
      <c r="Q161" s="49"/>
      <c r="R161" s="49"/>
      <c r="S161" s="49"/>
      <c r="T161" s="54"/>
      <c r="U161" s="49"/>
    </row>
    <row r="162" spans="2:21" s="8" customFormat="1" ht="6.75" customHeight="1">
      <c r="B162" s="54"/>
      <c r="E162" s="45"/>
      <c r="F162" s="45"/>
      <c r="G162" s="45"/>
      <c r="H162" s="45"/>
      <c r="I162" s="54"/>
      <c r="L162" s="46"/>
      <c r="M162" s="54"/>
      <c r="N162" s="46"/>
      <c r="O162" s="46"/>
      <c r="P162" s="46"/>
      <c r="Q162" s="46"/>
      <c r="R162" s="46"/>
      <c r="S162" s="46"/>
      <c r="T162" s="54"/>
      <c r="U162" s="46"/>
    </row>
    <row r="163" spans="2:21" s="8" customFormat="1" ht="7" customHeight="1">
      <c r="B163" s="54"/>
      <c r="E163" s="45"/>
      <c r="F163" s="45"/>
      <c r="G163" s="45"/>
      <c r="H163" s="45"/>
      <c r="I163" s="54"/>
      <c r="L163" s="46"/>
      <c r="M163" s="54"/>
      <c r="N163" s="46"/>
      <c r="O163" s="46"/>
      <c r="P163" s="46"/>
      <c r="Q163" s="46"/>
      <c r="R163" s="46"/>
      <c r="S163" s="46"/>
      <c r="T163" s="54"/>
      <c r="U163" s="46"/>
    </row>
    <row r="164" spans="2:21" s="8" customFormat="1" ht="6.75" customHeight="1">
      <c r="B164" s="54"/>
      <c r="E164" s="45"/>
      <c r="F164" s="45"/>
      <c r="G164" s="45"/>
      <c r="H164" s="45"/>
      <c r="I164" s="54"/>
      <c r="L164" s="46"/>
      <c r="M164" s="54"/>
      <c r="N164" s="46"/>
      <c r="O164" s="46"/>
      <c r="P164" s="46"/>
      <c r="Q164" s="46"/>
      <c r="R164" s="46"/>
      <c r="S164" s="46"/>
      <c r="T164" s="54"/>
      <c r="U164" s="46"/>
    </row>
    <row r="165" spans="2:21" ht="85" customHeight="1">
      <c r="C165" s="8"/>
      <c r="D165" s="8"/>
      <c r="E165" s="8"/>
      <c r="F165" s="8"/>
      <c r="G165" s="8"/>
      <c r="H165" s="8"/>
      <c r="J165" s="8"/>
      <c r="K165" s="8"/>
      <c r="L165" s="43"/>
      <c r="N165" s="43"/>
      <c r="O165" s="43"/>
      <c r="P165" s="43"/>
      <c r="Q165" s="43"/>
      <c r="R165" s="43"/>
      <c r="S165" s="43"/>
      <c r="U165" s="43"/>
    </row>
    <row r="166" spans="2:21" ht="68.25" customHeight="1">
      <c r="C166" s="8"/>
      <c r="D166" s="8"/>
      <c r="E166" s="8"/>
      <c r="F166" s="8"/>
      <c r="G166" s="8"/>
      <c r="H166" s="8"/>
      <c r="J166" s="8"/>
      <c r="K166" s="8"/>
      <c r="L166" s="9"/>
      <c r="N166" s="9"/>
      <c r="O166" s="9"/>
      <c r="P166" s="9"/>
      <c r="Q166" s="9"/>
      <c r="R166" s="9"/>
      <c r="S166" s="9"/>
      <c r="U166" s="9"/>
    </row>
    <row r="167" spans="2:21" ht="12" customHeight="1">
      <c r="C167" s="8"/>
      <c r="D167" s="8"/>
      <c r="E167" s="8"/>
      <c r="F167" s="8"/>
      <c r="G167" s="8"/>
      <c r="H167" s="155">
        <f>Bozza!$C$34</f>
        <v>0</v>
      </c>
      <c r="I167" s="155"/>
      <c r="J167" s="155"/>
      <c r="K167" s="8"/>
      <c r="L167" s="9"/>
      <c r="N167" s="9"/>
      <c r="O167" s="9"/>
      <c r="P167" s="9"/>
      <c r="Q167" s="9"/>
      <c r="R167" s="9"/>
      <c r="S167" s="159">
        <f>Bozza!F34</f>
        <v>0</v>
      </c>
      <c r="T167" s="156"/>
      <c r="U167" s="156"/>
    </row>
    <row r="168" spans="2:21" ht="11.25" customHeight="1">
      <c r="C168" s="8"/>
      <c r="D168" s="8"/>
      <c r="E168" s="8"/>
      <c r="F168" s="8"/>
      <c r="G168" s="8"/>
      <c r="H168" s="8"/>
      <c r="J168" s="8"/>
      <c r="K168" s="8"/>
      <c r="L168" s="9"/>
      <c r="N168" s="9"/>
      <c r="O168" s="9"/>
      <c r="P168" s="9"/>
      <c r="Q168" s="9"/>
      <c r="R168" s="9"/>
      <c r="S168" s="9"/>
      <c r="U168" s="9"/>
    </row>
    <row r="169" spans="2:21" ht="16" customHeight="1">
      <c r="C169" s="8"/>
      <c r="D169" s="8"/>
      <c r="E169" s="8"/>
      <c r="F169" s="155">
        <f>Bozza!$C$35</f>
        <v>0</v>
      </c>
      <c r="G169" s="155"/>
      <c r="H169" s="155"/>
      <c r="I169" s="155"/>
      <c r="J169" s="155"/>
      <c r="K169" s="8"/>
      <c r="L169" s="9"/>
      <c r="N169" s="9"/>
      <c r="O169" s="9"/>
      <c r="P169" s="9"/>
      <c r="Q169" s="156">
        <f>Bozza!F35</f>
        <v>0</v>
      </c>
      <c r="R169" s="156"/>
      <c r="S169" s="156"/>
      <c r="T169" s="156"/>
      <c r="U169" s="156"/>
    </row>
    <row r="170" spans="2:21" ht="11.25" customHeight="1">
      <c r="C170" s="8"/>
      <c r="D170" s="8"/>
      <c r="E170" s="8"/>
      <c r="F170" s="8"/>
      <c r="G170" s="8"/>
      <c r="H170" s="8"/>
      <c r="J170" s="8"/>
      <c r="K170" s="8"/>
      <c r="L170" s="9"/>
      <c r="N170" s="9"/>
      <c r="O170" s="9"/>
      <c r="P170" s="9"/>
      <c r="Q170" s="9"/>
      <c r="R170" s="9"/>
      <c r="S170" s="9"/>
      <c r="U170" s="9"/>
    </row>
    <row r="171" spans="2:21" ht="18" customHeight="1">
      <c r="C171" s="8"/>
      <c r="D171" s="157">
        <f>D147</f>
        <v>7</v>
      </c>
      <c r="E171" s="156"/>
      <c r="F171" s="156"/>
      <c r="G171" s="156"/>
      <c r="H171" s="156"/>
      <c r="I171" s="156"/>
      <c r="J171" s="156"/>
      <c r="K171" s="8"/>
      <c r="L171" s="9"/>
      <c r="N171" s="9"/>
      <c r="O171" s="157">
        <f>D171</f>
        <v>7</v>
      </c>
      <c r="P171" s="156"/>
      <c r="Q171" s="156"/>
      <c r="R171" s="156"/>
      <c r="S171" s="156"/>
      <c r="T171" s="156"/>
      <c r="U171" s="156"/>
    </row>
    <row r="172" spans="2:21" ht="13.5" customHeight="1">
      <c r="C172" s="8"/>
      <c r="D172" s="8"/>
      <c r="E172" s="8"/>
      <c r="F172" s="8"/>
      <c r="G172" s="8"/>
      <c r="H172" s="8"/>
      <c r="J172" s="8"/>
      <c r="K172" s="8"/>
      <c r="L172" s="9"/>
      <c r="N172" s="9"/>
      <c r="O172" s="9"/>
      <c r="P172" s="9"/>
      <c r="Q172" s="9"/>
      <c r="R172" s="9"/>
      <c r="S172" s="9"/>
      <c r="U172" s="9"/>
    </row>
    <row r="173" spans="2:21" ht="13.5" customHeight="1">
      <c r="C173" s="8"/>
      <c r="D173" s="8"/>
      <c r="E173" s="8"/>
      <c r="F173" s="8"/>
      <c r="G173" s="160">
        <f>Bozza!$E$34</f>
        <v>0</v>
      </c>
      <c r="H173" s="156"/>
      <c r="I173" s="156"/>
      <c r="J173" s="156"/>
      <c r="K173" s="8"/>
      <c r="L173" s="9"/>
      <c r="N173" s="9"/>
      <c r="O173" s="9"/>
      <c r="P173" s="9"/>
      <c r="Q173" s="9"/>
      <c r="R173" s="156">
        <f>Bozza!H34</f>
        <v>0</v>
      </c>
      <c r="S173" s="156"/>
      <c r="T173" s="156"/>
      <c r="U173" s="156"/>
    </row>
    <row r="174" spans="2:21" ht="34" customHeight="1">
      <c r="C174" s="8"/>
      <c r="D174" s="8"/>
      <c r="E174" s="8"/>
      <c r="F174" s="8"/>
      <c r="G174" s="8"/>
      <c r="H174" s="8"/>
      <c r="J174" s="8"/>
      <c r="K174" s="8"/>
      <c r="L174" s="9"/>
      <c r="N174" s="9"/>
      <c r="O174" s="9"/>
      <c r="P174" s="9"/>
      <c r="Q174" s="9"/>
      <c r="R174" s="9"/>
      <c r="S174" s="9"/>
      <c r="U174" s="9"/>
    </row>
    <row r="175" spans="2:21" ht="8" customHeight="1">
      <c r="B175" s="50" t="str">
        <f>IF(Bozza!$A$34 = "Lettura biblica", "X", "")</f>
        <v/>
      </c>
      <c r="C175" s="8"/>
      <c r="D175" s="8"/>
      <c r="E175" s="8"/>
      <c r="F175" s="8"/>
      <c r="G175" s="8"/>
      <c r="H175" s="8"/>
      <c r="I175" s="50" t="str">
        <f>IF(Bozza!$A$34 = "Terza visita ulteriore", "X", "")</f>
        <v/>
      </c>
      <c r="J175" s="8"/>
      <c r="K175" s="8"/>
      <c r="L175" s="9"/>
      <c r="M175" s="50" t="str">
        <f>IF(Bozza!$A$34 = "Lettura biblica", "X", "")</f>
        <v/>
      </c>
      <c r="N175" s="8"/>
      <c r="O175" s="8"/>
      <c r="P175" s="8"/>
      <c r="Q175" s="8"/>
      <c r="R175" s="8"/>
      <c r="S175" s="8"/>
      <c r="T175" s="50" t="str">
        <f>IF(Bozza!$A$34 = "Terza visita ulteriore", "X", "")</f>
        <v/>
      </c>
      <c r="U175" s="9"/>
    </row>
    <row r="176" spans="2:21" ht="6.75" customHeight="1">
      <c r="B176" s="50"/>
      <c r="C176" s="8"/>
      <c r="D176" s="8"/>
      <c r="E176" s="8"/>
      <c r="F176" s="8"/>
      <c r="G176" s="8"/>
      <c r="H176" s="8"/>
      <c r="I176" s="50"/>
      <c r="J176" s="8"/>
      <c r="K176" s="8"/>
      <c r="L176" s="9"/>
      <c r="M176" s="50"/>
      <c r="N176" s="8"/>
      <c r="O176" s="8"/>
      <c r="P176" s="8"/>
      <c r="Q176" s="8"/>
      <c r="R176" s="8"/>
      <c r="S176" s="8"/>
      <c r="T176" s="50"/>
      <c r="U176" s="9"/>
    </row>
    <row r="177" spans="1:23" ht="6" customHeight="1">
      <c r="B177" s="50" t="str">
        <f>IF(Bozza!$A$34 = "Primo contatto", "X", "")</f>
        <v/>
      </c>
      <c r="C177" s="8"/>
      <c r="D177" s="8"/>
      <c r="E177" s="8"/>
      <c r="F177" s="8"/>
      <c r="G177" s="8"/>
      <c r="H177" s="8"/>
      <c r="I177" s="50" t="str">
        <f>IF(Bozza!$A$34 = "Studio biblico", "X", "")</f>
        <v/>
      </c>
      <c r="J177" s="8"/>
      <c r="K177" s="8"/>
      <c r="L177" s="9"/>
      <c r="M177" s="50" t="str">
        <f>IF(Bozza!$A$34 = "Primo contatto", "X", "")</f>
        <v/>
      </c>
      <c r="N177" s="8"/>
      <c r="O177" s="8"/>
      <c r="P177" s="8"/>
      <c r="Q177" s="8"/>
      <c r="R177" s="8"/>
      <c r="S177" s="8"/>
      <c r="T177" s="50" t="str">
        <f>IF(Bozza!$A$34 = "Studio biblico", "X", "")</f>
        <v/>
      </c>
      <c r="U177" s="9"/>
    </row>
    <row r="178" spans="1:23" ht="6.75" customHeight="1">
      <c r="B178" s="50"/>
      <c r="C178" s="8"/>
      <c r="D178" s="8"/>
      <c r="E178" s="8"/>
      <c r="F178" s="8"/>
      <c r="G178" s="8"/>
      <c r="H178" s="8"/>
      <c r="I178" s="50"/>
      <c r="J178" s="8"/>
      <c r="K178" s="8"/>
      <c r="L178" s="9"/>
      <c r="M178" s="50"/>
      <c r="N178" s="8"/>
      <c r="O178" s="8"/>
      <c r="P178" s="8"/>
      <c r="Q178" s="8"/>
      <c r="R178" s="8"/>
      <c r="S178" s="8"/>
      <c r="T178" s="50"/>
      <c r="U178" s="9"/>
    </row>
    <row r="179" spans="1:23" ht="7" customHeight="1">
      <c r="B179" s="50" t="str">
        <f>IF(Bozza!$A$34 = "Prima visita ulteriore", "X", "")</f>
        <v/>
      </c>
      <c r="C179" s="8"/>
      <c r="D179" s="8"/>
      <c r="E179" s="8"/>
      <c r="F179" s="8"/>
      <c r="G179" s="8"/>
      <c r="H179" s="8"/>
      <c r="I179" s="50" t="str">
        <f>IF(Bozza!$A$34 = "Discorso", "X", "")</f>
        <v/>
      </c>
      <c r="J179" s="8"/>
      <c r="K179" s="8"/>
      <c r="L179" s="9"/>
      <c r="M179" s="50" t="str">
        <f>IF(Bozza!$A$34 = "Prima visita ulteriore", "X", "")</f>
        <v/>
      </c>
      <c r="N179" s="8"/>
      <c r="O179" s="8"/>
      <c r="P179" s="8"/>
      <c r="Q179" s="8"/>
      <c r="R179" s="8"/>
      <c r="S179" s="8"/>
      <c r="T179" s="50" t="str">
        <f>IF(Bozza!$A$34 = "Discorso", "X", "")</f>
        <v/>
      </c>
      <c r="U179" s="9"/>
    </row>
    <row r="180" spans="1:23" ht="7.5" customHeight="1">
      <c r="B180" s="50"/>
      <c r="C180" s="8"/>
      <c r="D180" s="8"/>
      <c r="E180" s="8"/>
      <c r="F180" s="8"/>
      <c r="G180" s="8"/>
      <c r="H180" s="8"/>
      <c r="I180" s="50"/>
      <c r="J180" s="8"/>
      <c r="K180" s="8"/>
      <c r="L180" s="9"/>
      <c r="M180" s="50"/>
      <c r="N180" s="8"/>
      <c r="O180" s="8"/>
      <c r="P180" s="8"/>
      <c r="Q180" s="8"/>
      <c r="R180" s="8"/>
      <c r="S180" s="8"/>
      <c r="T180" s="50"/>
      <c r="U180" s="9"/>
    </row>
    <row r="181" spans="1:23" ht="6.75" customHeight="1">
      <c r="B181" s="50" t="str">
        <f>IF(Bozza!$A$34 = "Seconda visita ulteriore", "X", "")</f>
        <v/>
      </c>
      <c r="C181" s="8"/>
      <c r="D181" s="8"/>
      <c r="E181" s="8"/>
      <c r="F181" s="8"/>
      <c r="G181" s="8"/>
      <c r="H181" s="8"/>
      <c r="I181" s="50"/>
      <c r="J181" s="8"/>
      <c r="K181" s="8"/>
      <c r="L181" s="9"/>
      <c r="M181" s="50" t="str">
        <f>IF(Bozza!$A$34 = "Seconda visita ulteriore", "X", "")</f>
        <v/>
      </c>
      <c r="N181" s="8"/>
      <c r="O181" s="8"/>
      <c r="P181" s="8"/>
      <c r="Q181" s="8"/>
      <c r="R181" s="8"/>
      <c r="S181" s="8"/>
      <c r="T181" s="50"/>
      <c r="U181" s="9"/>
    </row>
    <row r="182" spans="1:23" ht="24" customHeight="1">
      <c r="C182" s="8"/>
      <c r="D182" s="8"/>
      <c r="E182" s="8"/>
      <c r="F182" s="8"/>
      <c r="G182" s="8"/>
      <c r="H182" s="8"/>
      <c r="J182" s="8"/>
      <c r="K182" s="8"/>
      <c r="L182" s="9"/>
      <c r="N182" s="9"/>
      <c r="O182" s="9"/>
      <c r="P182" s="9"/>
      <c r="Q182" s="9"/>
      <c r="R182" s="9"/>
      <c r="S182" s="9"/>
      <c r="U182" s="9"/>
    </row>
    <row r="183" spans="1:23" ht="6.75" customHeight="1">
      <c r="A183" s="8"/>
      <c r="B183" s="54" t="s">
        <v>16</v>
      </c>
      <c r="C183" s="8"/>
      <c r="D183" s="8"/>
      <c r="E183" s="155"/>
      <c r="F183" s="155"/>
      <c r="G183" s="155"/>
      <c r="H183" s="155"/>
      <c r="J183" s="8"/>
      <c r="K183" s="8"/>
      <c r="L183" s="49"/>
      <c r="N183" s="49"/>
      <c r="O183" s="49"/>
      <c r="P183" s="156"/>
      <c r="Q183" s="156"/>
      <c r="R183" s="156"/>
      <c r="S183" s="156"/>
      <c r="U183" s="49"/>
      <c r="V183" s="8"/>
      <c r="W183" s="8"/>
    </row>
    <row r="184" spans="1:23" s="8" customFormat="1" ht="6.75" customHeight="1">
      <c r="B184" s="54"/>
      <c r="E184" s="48"/>
      <c r="F184" s="48"/>
      <c r="G184" s="48"/>
      <c r="H184" s="48"/>
      <c r="I184" s="54"/>
      <c r="L184" s="49"/>
      <c r="M184" s="54"/>
      <c r="N184" s="49"/>
      <c r="O184" s="49"/>
      <c r="P184" s="49"/>
      <c r="Q184" s="49"/>
      <c r="R184" s="49"/>
      <c r="S184" s="49"/>
      <c r="T184" s="54"/>
      <c r="U184" s="49"/>
    </row>
    <row r="185" spans="1:23" s="8" customFormat="1" ht="7" customHeight="1">
      <c r="B185" s="54"/>
      <c r="E185" s="48"/>
      <c r="F185" s="48"/>
      <c r="G185" s="48"/>
      <c r="H185" s="48"/>
      <c r="I185" s="54"/>
      <c r="L185" s="49"/>
      <c r="M185" s="54" t="s">
        <v>16</v>
      </c>
      <c r="N185" s="49"/>
      <c r="O185" s="49"/>
      <c r="P185" s="49"/>
      <c r="Q185" s="49"/>
      <c r="R185" s="49"/>
      <c r="S185" s="49"/>
      <c r="T185" s="54"/>
      <c r="U185" s="49"/>
    </row>
    <row r="186" spans="1:23" s="8" customFormat="1" ht="6.75" customHeight="1">
      <c r="B186" s="54"/>
      <c r="E186" s="45"/>
      <c r="F186" s="45"/>
      <c r="G186" s="45"/>
      <c r="H186" s="45"/>
      <c r="I186" s="54"/>
      <c r="L186" s="46"/>
      <c r="M186" s="54"/>
      <c r="N186" s="46"/>
      <c r="O186" s="46"/>
      <c r="P186" s="46"/>
      <c r="Q186" s="46"/>
      <c r="R186" s="46"/>
      <c r="S186" s="46"/>
      <c r="T186" s="54"/>
      <c r="U186" s="46"/>
    </row>
    <row r="187" spans="1:23" s="8" customFormat="1" ht="7" customHeight="1">
      <c r="B187" s="54"/>
      <c r="E187" s="45"/>
      <c r="F187" s="45"/>
      <c r="G187" s="45"/>
      <c r="H187" s="45"/>
      <c r="I187" s="54"/>
      <c r="L187" s="46"/>
      <c r="M187" s="54"/>
      <c r="N187" s="46"/>
      <c r="O187" s="46"/>
      <c r="P187" s="46"/>
      <c r="Q187" s="46"/>
      <c r="R187" s="46"/>
      <c r="S187" s="46"/>
      <c r="T187" s="54"/>
      <c r="U187" s="46"/>
    </row>
    <row r="188" spans="1:23" ht="92" customHeight="1">
      <c r="C188" s="8"/>
      <c r="D188" s="8"/>
      <c r="E188" s="8"/>
      <c r="F188" s="8"/>
      <c r="G188" s="8"/>
      <c r="H188" s="8"/>
      <c r="J188" s="8"/>
      <c r="K188" s="8"/>
      <c r="L188" s="9"/>
      <c r="N188" s="9"/>
      <c r="O188" s="9"/>
      <c r="P188" s="9"/>
      <c r="Q188" s="9"/>
      <c r="R188" s="9"/>
      <c r="S188" s="9"/>
      <c r="U188" s="9"/>
    </row>
    <row r="189" spans="1:23" ht="68.25" customHeight="1">
      <c r="C189" s="8"/>
      <c r="D189" s="8"/>
      <c r="E189" s="8"/>
      <c r="F189" s="8"/>
      <c r="G189" s="8"/>
      <c r="H189" s="8"/>
      <c r="J189" s="8"/>
      <c r="K189" s="8"/>
      <c r="L189" s="9"/>
      <c r="N189" s="9"/>
      <c r="O189" s="9"/>
      <c r="P189" s="9"/>
      <c r="Q189" s="9"/>
      <c r="R189" s="9"/>
      <c r="S189" s="9"/>
      <c r="U189" s="9"/>
    </row>
    <row r="190" spans="1:23" ht="12" customHeight="1">
      <c r="C190" s="8"/>
      <c r="D190" s="8"/>
      <c r="E190" s="8"/>
      <c r="F190" s="8"/>
      <c r="G190" s="8"/>
      <c r="H190" s="155">
        <f>Bozza!$C$49</f>
        <v>0</v>
      </c>
      <c r="I190" s="155"/>
      <c r="J190" s="155"/>
      <c r="K190" s="8"/>
      <c r="L190" s="9"/>
      <c r="N190" s="9"/>
      <c r="O190" s="9"/>
      <c r="P190" s="9"/>
      <c r="Q190" s="9"/>
      <c r="R190" s="9"/>
      <c r="S190" s="156">
        <f>Bozza!F49</f>
        <v>0</v>
      </c>
      <c r="T190" s="156"/>
      <c r="U190" s="156"/>
    </row>
    <row r="191" spans="1:23" ht="11.25" customHeight="1">
      <c r="C191" s="8"/>
      <c r="D191" s="8"/>
      <c r="E191" s="8"/>
      <c r="F191" s="8"/>
      <c r="G191" s="8"/>
      <c r="H191" s="8"/>
      <c r="J191" s="8"/>
      <c r="K191" s="8"/>
      <c r="L191" s="9"/>
      <c r="N191" s="9"/>
      <c r="O191" s="9"/>
      <c r="P191" s="9"/>
      <c r="Q191" s="9"/>
      <c r="R191" s="9"/>
      <c r="S191" s="9"/>
      <c r="U191" s="9"/>
    </row>
    <row r="192" spans="1:23" ht="16" customHeight="1">
      <c r="C192" s="8"/>
      <c r="D192" s="8"/>
      <c r="E192" s="8"/>
      <c r="F192" s="155"/>
      <c r="G192" s="155"/>
      <c r="H192" s="155"/>
      <c r="I192" s="155"/>
      <c r="J192" s="155"/>
      <c r="K192" s="8"/>
      <c r="L192" s="9"/>
      <c r="N192" s="9"/>
      <c r="O192" s="9"/>
      <c r="P192" s="9"/>
      <c r="Q192" s="156"/>
      <c r="R192" s="156"/>
      <c r="S192" s="156"/>
      <c r="T192" s="156"/>
      <c r="U192" s="156"/>
    </row>
    <row r="193" spans="1:23" ht="11.25" customHeight="1">
      <c r="C193" s="8"/>
      <c r="D193" s="8"/>
      <c r="E193" s="8"/>
      <c r="F193" s="8"/>
      <c r="G193" s="8"/>
      <c r="H193" s="8"/>
      <c r="J193" s="8"/>
      <c r="K193" s="8"/>
      <c r="L193" s="9"/>
      <c r="N193" s="9"/>
      <c r="O193" s="9"/>
      <c r="P193" s="9"/>
      <c r="Q193" s="9"/>
      <c r="R193" s="9"/>
      <c r="S193" s="9"/>
      <c r="U193" s="9"/>
    </row>
    <row r="194" spans="1:23" ht="17" customHeight="1">
      <c r="C194" s="8"/>
      <c r="D194" s="157">
        <f>D171+7</f>
        <v>14</v>
      </c>
      <c r="E194" s="156"/>
      <c r="F194" s="156"/>
      <c r="G194" s="156"/>
      <c r="H194" s="156"/>
      <c r="I194" s="156"/>
      <c r="J194" s="156"/>
      <c r="K194" s="8"/>
      <c r="L194" s="9"/>
      <c r="N194" s="9"/>
      <c r="O194" s="157">
        <f>D194</f>
        <v>14</v>
      </c>
      <c r="P194" s="156"/>
      <c r="Q194" s="156"/>
      <c r="R194" s="156"/>
      <c r="S194" s="156"/>
      <c r="T194" s="156"/>
      <c r="U194" s="156"/>
    </row>
    <row r="195" spans="1:23" ht="13.5" customHeight="1">
      <c r="C195" s="8"/>
      <c r="D195" s="8"/>
      <c r="E195" s="8"/>
      <c r="F195" s="8"/>
      <c r="G195" s="8"/>
      <c r="H195" s="8"/>
      <c r="J195" s="8"/>
      <c r="K195" s="8"/>
      <c r="L195" s="9"/>
      <c r="N195" s="9"/>
      <c r="O195" s="9"/>
      <c r="P195" s="9"/>
      <c r="Q195" s="9"/>
      <c r="R195" s="9"/>
      <c r="S195" s="9"/>
      <c r="U195" s="9"/>
    </row>
    <row r="196" spans="1:23" ht="15" customHeight="1">
      <c r="C196" s="8"/>
      <c r="D196" s="8"/>
      <c r="E196" s="8"/>
      <c r="F196" s="8"/>
      <c r="G196" s="156">
        <f>Bozza!$E$49</f>
        <v>0</v>
      </c>
      <c r="H196" s="156"/>
      <c r="I196" s="156"/>
      <c r="J196" s="156"/>
      <c r="K196" s="8"/>
      <c r="L196" s="9"/>
      <c r="N196" s="9"/>
      <c r="O196" s="9"/>
      <c r="P196" s="9"/>
      <c r="Q196" s="9"/>
      <c r="R196" s="156">
        <f>Bozza!H49</f>
        <v>0</v>
      </c>
      <c r="S196" s="156"/>
      <c r="T196" s="156"/>
      <c r="U196" s="156"/>
    </row>
    <row r="197" spans="1:23" ht="34" customHeight="1">
      <c r="C197" s="8"/>
      <c r="D197" s="8"/>
      <c r="E197" s="8"/>
      <c r="F197" s="8"/>
      <c r="G197" s="8"/>
      <c r="H197" s="8"/>
      <c r="J197" s="8"/>
      <c r="K197" s="8"/>
      <c r="L197" s="9"/>
      <c r="N197" s="9"/>
      <c r="O197" s="9"/>
      <c r="P197" s="9"/>
      <c r="Q197" s="9"/>
      <c r="R197" s="9"/>
      <c r="S197" s="9"/>
      <c r="U197" s="9"/>
    </row>
    <row r="198" spans="1:23" ht="6.75" customHeight="1">
      <c r="B198" s="50" t="str">
        <f>IF(Bozza!$A$49 = "Lettura biblica", "X", "")</f>
        <v/>
      </c>
      <c r="C198" s="8"/>
      <c r="D198" s="8"/>
      <c r="E198" s="8"/>
      <c r="F198" s="8"/>
      <c r="G198" s="8"/>
      <c r="H198" s="8"/>
      <c r="I198" s="50" t="str">
        <f>IF(Bozza!$A$49 = "Terza visita ulteriore", "X", "")</f>
        <v/>
      </c>
      <c r="J198" s="8"/>
      <c r="K198" s="8"/>
      <c r="L198" s="9"/>
      <c r="M198" s="50" t="str">
        <f>IF(Bozza!$A$49 = "Lettura biblica", "X", "")</f>
        <v/>
      </c>
      <c r="N198" s="8"/>
      <c r="O198" s="8"/>
      <c r="P198" s="8"/>
      <c r="Q198" s="8"/>
      <c r="R198" s="8"/>
      <c r="S198" s="8"/>
      <c r="T198" s="50" t="str">
        <f>IF(Bozza!$A$49 = "Terza visita ulteriore", "X", "")</f>
        <v/>
      </c>
      <c r="U198" s="9"/>
    </row>
    <row r="199" spans="1:23" ht="6.75" customHeight="1">
      <c r="B199" s="50"/>
      <c r="C199" s="8"/>
      <c r="D199" s="8"/>
      <c r="E199" s="8"/>
      <c r="F199" s="8"/>
      <c r="G199" s="8"/>
      <c r="H199" s="8"/>
      <c r="I199" s="50"/>
      <c r="J199" s="8"/>
      <c r="K199" s="8"/>
      <c r="L199" s="9"/>
      <c r="M199" s="50"/>
      <c r="N199" s="8"/>
      <c r="O199" s="8"/>
      <c r="P199" s="8"/>
      <c r="Q199" s="8"/>
      <c r="R199" s="8"/>
      <c r="S199" s="8"/>
      <c r="T199" s="50"/>
      <c r="U199" s="9"/>
    </row>
    <row r="200" spans="1:23" ht="6" customHeight="1">
      <c r="B200" s="50" t="str">
        <f>IF(Bozza!$A$49 = "Primo contatto", "X", "")</f>
        <v/>
      </c>
      <c r="C200" s="8"/>
      <c r="D200" s="8"/>
      <c r="E200" s="8"/>
      <c r="F200" s="8"/>
      <c r="G200" s="8"/>
      <c r="H200" s="8"/>
      <c r="I200" s="50" t="str">
        <f>IF(Bozza!$A$49 = "Studio biblico", "X", "")</f>
        <v/>
      </c>
      <c r="J200" s="8"/>
      <c r="K200" s="8"/>
      <c r="L200" s="9"/>
      <c r="M200" s="50" t="str">
        <f>IF(Bozza!$A$49 = "Primo contatto", "X", "")</f>
        <v/>
      </c>
      <c r="N200" s="8"/>
      <c r="O200" s="8"/>
      <c r="P200" s="8"/>
      <c r="Q200" s="8"/>
      <c r="R200" s="8"/>
      <c r="S200" s="8"/>
      <c r="T200" s="50" t="str">
        <f>IF(Bozza!$A$49 = "Studio biblico", "X", "")</f>
        <v/>
      </c>
      <c r="U200" s="9"/>
    </row>
    <row r="201" spans="1:23" ht="6.75" customHeight="1">
      <c r="B201" s="50"/>
      <c r="C201" s="8"/>
      <c r="D201" s="8"/>
      <c r="E201" s="8"/>
      <c r="F201" s="8"/>
      <c r="G201" s="8"/>
      <c r="H201" s="8"/>
      <c r="I201" s="50"/>
      <c r="J201" s="8"/>
      <c r="K201" s="8"/>
      <c r="L201" s="9"/>
      <c r="M201" s="50"/>
      <c r="N201" s="8"/>
      <c r="O201" s="8"/>
      <c r="P201" s="8"/>
      <c r="Q201" s="8"/>
      <c r="R201" s="8"/>
      <c r="S201" s="8"/>
      <c r="T201" s="50"/>
      <c r="U201" s="9"/>
    </row>
    <row r="202" spans="1:23" ht="8" customHeight="1">
      <c r="B202" s="50" t="str">
        <f>IF(Bozza!$A$49 = "Prima visita ulteriore", "X", "")</f>
        <v/>
      </c>
      <c r="C202" s="8"/>
      <c r="D202" s="8"/>
      <c r="E202" s="8"/>
      <c r="F202" s="8"/>
      <c r="G202" s="8"/>
      <c r="H202" s="8"/>
      <c r="I202" s="50" t="str">
        <f>IF(Bozza!$A$49 = "Discorso", "X", "")</f>
        <v/>
      </c>
      <c r="J202" s="8"/>
      <c r="K202" s="8"/>
      <c r="L202" s="9"/>
      <c r="M202" s="50" t="str">
        <f>IF(Bozza!$A$49 = "Prima visita ulteriore", "X", "")</f>
        <v/>
      </c>
      <c r="N202" s="8"/>
      <c r="O202" s="8"/>
      <c r="P202" s="8"/>
      <c r="Q202" s="8"/>
      <c r="R202" s="8"/>
      <c r="S202" s="8"/>
      <c r="T202" s="50" t="str">
        <f>IF(Bozza!$A$49 = "Discorso", "X", "")</f>
        <v/>
      </c>
      <c r="U202" s="9"/>
    </row>
    <row r="203" spans="1:23" ht="6" customHeight="1">
      <c r="B203" s="50"/>
      <c r="C203" s="8"/>
      <c r="D203" s="8"/>
      <c r="E203" s="8"/>
      <c r="F203" s="8"/>
      <c r="G203" s="8"/>
      <c r="H203" s="8"/>
      <c r="I203" s="50"/>
      <c r="J203" s="8"/>
      <c r="K203" s="8"/>
      <c r="L203" s="9"/>
      <c r="M203" s="50"/>
      <c r="N203" s="8"/>
      <c r="O203" s="8"/>
      <c r="P203" s="8"/>
      <c r="Q203" s="8"/>
      <c r="R203" s="8"/>
      <c r="S203" s="8"/>
      <c r="T203" s="50"/>
      <c r="U203" s="9"/>
    </row>
    <row r="204" spans="1:23" ht="7.5" customHeight="1">
      <c r="B204" s="50" t="str">
        <f>IF(Bozza!$A$49 = "Seconda visita ulteriore", "X", "")</f>
        <v/>
      </c>
      <c r="C204" s="8"/>
      <c r="D204" s="8"/>
      <c r="E204" s="8"/>
      <c r="F204" s="8"/>
      <c r="G204" s="8"/>
      <c r="H204" s="8"/>
      <c r="I204" s="50"/>
      <c r="J204" s="8"/>
      <c r="K204" s="8"/>
      <c r="L204" s="9"/>
      <c r="M204" s="50" t="str">
        <f>IF(Bozza!$A$49 = "Seconda visita ulteriore", "X", "")</f>
        <v/>
      </c>
      <c r="N204" s="8"/>
      <c r="O204" s="8"/>
      <c r="P204" s="8"/>
      <c r="Q204" s="8"/>
      <c r="R204" s="8"/>
      <c r="S204" s="8"/>
      <c r="T204" s="50"/>
      <c r="U204" s="9"/>
    </row>
    <row r="205" spans="1:23" ht="24" customHeight="1">
      <c r="C205" s="8"/>
      <c r="D205" s="8"/>
      <c r="E205" s="8"/>
      <c r="F205" s="8"/>
      <c r="G205" s="8"/>
      <c r="H205" s="8"/>
      <c r="J205" s="8"/>
      <c r="K205" s="8"/>
      <c r="L205" s="9"/>
      <c r="N205" s="9"/>
      <c r="O205" s="9"/>
      <c r="P205" s="9"/>
      <c r="Q205" s="9"/>
      <c r="R205" s="9"/>
      <c r="S205" s="9"/>
      <c r="U205" s="9"/>
    </row>
    <row r="206" spans="1:23" ht="6.75" customHeight="1">
      <c r="A206" s="8"/>
      <c r="B206" s="54" t="s">
        <v>16</v>
      </c>
      <c r="C206" s="8"/>
      <c r="D206" s="8"/>
      <c r="E206" s="155"/>
      <c r="F206" s="155"/>
      <c r="G206" s="155"/>
      <c r="H206" s="155"/>
      <c r="J206" s="8"/>
      <c r="K206" s="8"/>
      <c r="L206" s="49"/>
      <c r="N206" s="49"/>
      <c r="O206" s="49"/>
      <c r="P206" s="156"/>
      <c r="Q206" s="156"/>
      <c r="R206" s="156"/>
      <c r="S206" s="156"/>
      <c r="U206" s="49"/>
      <c r="V206" s="8"/>
      <c r="W206" s="8"/>
    </row>
    <row r="207" spans="1:23" s="8" customFormat="1" ht="6.75" customHeight="1">
      <c r="B207" s="54"/>
      <c r="E207" s="48"/>
      <c r="F207" s="48"/>
      <c r="G207" s="48"/>
      <c r="H207" s="48"/>
      <c r="I207" s="54"/>
      <c r="L207" s="49"/>
      <c r="M207" s="54"/>
      <c r="N207" s="49"/>
      <c r="O207" s="49"/>
      <c r="P207" s="49"/>
      <c r="Q207" s="49"/>
      <c r="R207" s="49"/>
      <c r="S207" s="49"/>
      <c r="T207" s="54"/>
      <c r="U207" s="49"/>
    </row>
    <row r="208" spans="1:23" s="8" customFormat="1" ht="8" customHeight="1">
      <c r="B208" s="54"/>
      <c r="E208" s="48"/>
      <c r="F208" s="48"/>
      <c r="G208" s="48"/>
      <c r="H208" s="48"/>
      <c r="I208" s="54"/>
      <c r="L208" s="49"/>
      <c r="M208" s="54" t="s">
        <v>16</v>
      </c>
      <c r="N208" s="49"/>
      <c r="O208" s="49"/>
      <c r="P208" s="49"/>
      <c r="Q208" s="49"/>
      <c r="R208" s="49"/>
      <c r="S208" s="49"/>
      <c r="T208" s="54"/>
      <c r="U208" s="49"/>
    </row>
    <row r="209" spans="2:21" s="8" customFormat="1" ht="6.75" customHeight="1">
      <c r="B209" s="54"/>
      <c r="E209" s="45"/>
      <c r="F209" s="45"/>
      <c r="G209" s="45"/>
      <c r="H209" s="45"/>
      <c r="I209" s="54"/>
      <c r="L209" s="46"/>
      <c r="M209" s="54"/>
      <c r="N209" s="46"/>
      <c r="O209" s="46"/>
      <c r="P209" s="46"/>
      <c r="Q209" s="46"/>
      <c r="R209" s="46"/>
      <c r="S209" s="46"/>
      <c r="T209" s="54"/>
      <c r="U209" s="46"/>
    </row>
    <row r="210" spans="2:21" s="8" customFormat="1" ht="6.75" customHeight="1">
      <c r="B210" s="54"/>
      <c r="E210" s="45"/>
      <c r="F210" s="45"/>
      <c r="G210" s="45"/>
      <c r="H210" s="45"/>
      <c r="I210" s="54"/>
      <c r="L210" s="46"/>
      <c r="M210" s="54"/>
      <c r="N210" s="46"/>
      <c r="O210" s="46"/>
      <c r="P210" s="46"/>
      <c r="Q210" s="46"/>
      <c r="R210" s="46"/>
      <c r="S210" s="46"/>
      <c r="T210" s="54"/>
      <c r="U210" s="46"/>
    </row>
    <row r="211" spans="2:21" ht="90" customHeight="1">
      <c r="C211" s="8"/>
      <c r="D211" s="8"/>
      <c r="E211" s="8"/>
      <c r="F211" s="8"/>
      <c r="G211" s="8"/>
      <c r="H211" s="8"/>
      <c r="J211" s="8"/>
      <c r="K211" s="8"/>
      <c r="L211" s="9"/>
      <c r="N211" s="9"/>
      <c r="O211" s="9"/>
      <c r="P211" s="9"/>
      <c r="Q211" s="9"/>
      <c r="R211" s="9"/>
      <c r="S211" s="9"/>
      <c r="U211" s="9"/>
    </row>
    <row r="212" spans="2:21" ht="68.25" customHeight="1">
      <c r="C212" s="8"/>
      <c r="D212" s="8"/>
      <c r="E212" s="8"/>
      <c r="F212" s="8"/>
      <c r="G212" s="8"/>
      <c r="H212" s="8"/>
      <c r="J212" s="8"/>
      <c r="K212" s="8"/>
      <c r="L212" s="9"/>
      <c r="N212" s="9"/>
      <c r="O212" s="9"/>
      <c r="P212" s="9"/>
      <c r="Q212" s="9"/>
      <c r="R212" s="9"/>
      <c r="S212" s="9"/>
      <c r="U212" s="9"/>
    </row>
    <row r="213" spans="2:21" ht="12" customHeight="1">
      <c r="C213" s="8"/>
      <c r="D213" s="8"/>
      <c r="E213" s="8"/>
      <c r="F213" s="8"/>
      <c r="G213" s="8"/>
      <c r="H213" s="155">
        <f>Bozza!$C$51</f>
        <v>0</v>
      </c>
      <c r="I213" s="155"/>
      <c r="J213" s="155"/>
      <c r="K213" s="8"/>
      <c r="L213" s="9"/>
      <c r="N213" s="9"/>
      <c r="O213" s="9"/>
      <c r="P213" s="9"/>
      <c r="Q213" s="9"/>
      <c r="R213" s="9"/>
      <c r="S213" s="159">
        <f>Bozza!F51</f>
        <v>0</v>
      </c>
      <c r="T213" s="156"/>
      <c r="U213" s="156"/>
    </row>
    <row r="214" spans="2:21" ht="11.25" customHeight="1">
      <c r="C214" s="8"/>
      <c r="D214" s="8"/>
      <c r="E214" s="8"/>
      <c r="F214" s="8"/>
      <c r="G214" s="8"/>
      <c r="H214" s="8"/>
      <c r="J214" s="8"/>
      <c r="K214" s="8"/>
      <c r="L214" s="9"/>
      <c r="N214" s="9"/>
      <c r="O214" s="9"/>
      <c r="P214" s="9"/>
      <c r="Q214" s="9"/>
      <c r="R214" s="9"/>
      <c r="S214" s="9"/>
      <c r="U214" s="9"/>
    </row>
    <row r="215" spans="2:21" ht="17" customHeight="1">
      <c r="C215" s="8"/>
      <c r="D215" s="8"/>
      <c r="E215" s="8"/>
      <c r="F215" s="155">
        <f>Bozza!$C$52</f>
        <v>0</v>
      </c>
      <c r="G215" s="155"/>
      <c r="H215" s="155"/>
      <c r="I215" s="155"/>
      <c r="J215" s="155"/>
      <c r="K215" s="8"/>
      <c r="L215" s="9"/>
      <c r="N215" s="9"/>
      <c r="O215" s="9"/>
      <c r="P215" s="9"/>
      <c r="Q215" s="156">
        <f>Bozza!F52</f>
        <v>0</v>
      </c>
      <c r="R215" s="156"/>
      <c r="S215" s="156"/>
      <c r="T215" s="156"/>
      <c r="U215" s="156"/>
    </row>
    <row r="216" spans="2:21" ht="11.25" customHeight="1">
      <c r="C216" s="8"/>
      <c r="D216" s="8"/>
      <c r="E216" s="8"/>
      <c r="F216" s="8"/>
      <c r="G216" s="8"/>
      <c r="H216" s="8"/>
      <c r="J216" s="8"/>
      <c r="K216" s="8"/>
      <c r="L216" s="9"/>
      <c r="N216" s="9"/>
      <c r="O216" s="9"/>
      <c r="P216" s="9"/>
      <c r="Q216" s="9"/>
      <c r="R216" s="9"/>
      <c r="S216" s="9"/>
      <c r="U216" s="9"/>
    </row>
    <row r="217" spans="2:21" ht="17" customHeight="1">
      <c r="C217" s="8"/>
      <c r="D217" s="157">
        <f>D194</f>
        <v>14</v>
      </c>
      <c r="E217" s="156"/>
      <c r="F217" s="156"/>
      <c r="G217" s="156"/>
      <c r="H217" s="156"/>
      <c r="I217" s="156"/>
      <c r="J217" s="156"/>
      <c r="K217" s="8"/>
      <c r="L217" s="9"/>
      <c r="N217" s="9"/>
      <c r="O217" s="157">
        <f>D217</f>
        <v>14</v>
      </c>
      <c r="P217" s="156"/>
      <c r="Q217" s="156"/>
      <c r="R217" s="156"/>
      <c r="S217" s="156"/>
      <c r="T217" s="156"/>
      <c r="U217" s="156"/>
    </row>
    <row r="218" spans="2:21" ht="13.5" customHeight="1">
      <c r="C218" s="8"/>
      <c r="D218" s="8"/>
      <c r="E218" s="8"/>
      <c r="F218" s="8"/>
      <c r="G218" s="8"/>
      <c r="H218" s="8"/>
      <c r="J218" s="8"/>
      <c r="K218" s="8"/>
      <c r="L218" s="9"/>
      <c r="N218" s="9"/>
      <c r="O218" s="9"/>
      <c r="P218" s="9"/>
      <c r="Q218" s="9"/>
      <c r="R218" s="9"/>
      <c r="S218" s="9"/>
      <c r="U218" s="9"/>
    </row>
    <row r="219" spans="2:21" ht="14" customHeight="1">
      <c r="C219" s="8"/>
      <c r="D219" s="8"/>
      <c r="E219" s="8"/>
      <c r="F219" s="8"/>
      <c r="G219" s="156">
        <f>Bozza!$E$51</f>
        <v>0</v>
      </c>
      <c r="H219" s="156"/>
      <c r="I219" s="156"/>
      <c r="J219" s="156"/>
      <c r="K219" s="8"/>
      <c r="L219" s="9"/>
      <c r="N219" s="9"/>
      <c r="O219" s="9"/>
      <c r="P219" s="9"/>
      <c r="Q219" s="9"/>
      <c r="R219" s="156">
        <f>Bozza!H51</f>
        <v>0</v>
      </c>
      <c r="S219" s="156"/>
      <c r="T219" s="156"/>
      <c r="U219" s="156"/>
    </row>
    <row r="220" spans="2:21" ht="35" customHeight="1">
      <c r="C220" s="8"/>
      <c r="D220" s="8"/>
      <c r="E220" s="8"/>
      <c r="F220" s="8"/>
      <c r="G220" s="8"/>
      <c r="H220" s="8"/>
      <c r="J220" s="8"/>
      <c r="K220" s="8"/>
      <c r="L220" s="9"/>
      <c r="N220" s="9"/>
      <c r="O220" s="9"/>
      <c r="P220" s="9"/>
      <c r="Q220" s="9"/>
      <c r="R220" s="9"/>
      <c r="S220" s="9"/>
      <c r="U220" s="9"/>
    </row>
    <row r="221" spans="2:21" ht="6" customHeight="1">
      <c r="B221" s="50" t="str">
        <f>IF(Bozza!$A$51 = "Lettura biblica", "X", "")</f>
        <v/>
      </c>
      <c r="C221" s="8"/>
      <c r="D221" s="8"/>
      <c r="E221" s="8"/>
      <c r="F221" s="8"/>
      <c r="G221" s="8"/>
      <c r="H221" s="8"/>
      <c r="I221" s="50" t="str">
        <f>IF(Bozza!$A$51 = "Terza visita ulteriore", "X", "")</f>
        <v/>
      </c>
      <c r="J221" s="8"/>
      <c r="K221" s="8"/>
      <c r="L221" s="9"/>
      <c r="M221" s="50" t="str">
        <f>IF(Bozza!$A$51 = "Lettura biblica", "X", "")</f>
        <v/>
      </c>
      <c r="N221" s="8"/>
      <c r="O221" s="8"/>
      <c r="P221" s="8"/>
      <c r="Q221" s="8"/>
      <c r="R221" s="8"/>
      <c r="S221" s="8"/>
      <c r="T221" s="50" t="str">
        <f>IF(Bozza!$A$51 = "Terza visita ulteriore", "X", "")</f>
        <v/>
      </c>
      <c r="U221" s="9"/>
    </row>
    <row r="222" spans="2:21" ht="6.75" customHeight="1">
      <c r="B222" s="50"/>
      <c r="C222" s="8"/>
      <c r="D222" s="8"/>
      <c r="E222" s="8"/>
      <c r="F222" s="8"/>
      <c r="G222" s="8"/>
      <c r="H222" s="8"/>
      <c r="I222" s="50"/>
      <c r="J222" s="8"/>
      <c r="K222" s="8"/>
      <c r="L222" s="9"/>
      <c r="M222" s="50"/>
      <c r="N222" s="8"/>
      <c r="O222" s="8"/>
      <c r="P222" s="8"/>
      <c r="Q222" s="8"/>
      <c r="R222" s="8"/>
      <c r="S222" s="8"/>
      <c r="T222" s="50"/>
      <c r="U222" s="9"/>
    </row>
    <row r="223" spans="2:21" ht="7" customHeight="1">
      <c r="B223" s="50" t="str">
        <f>IF(Bozza!$A$51 = "Primo contatto", "X", "")</f>
        <v/>
      </c>
      <c r="C223" s="8"/>
      <c r="D223" s="8"/>
      <c r="E223" s="8"/>
      <c r="F223" s="8"/>
      <c r="G223" s="8"/>
      <c r="H223" s="8"/>
      <c r="I223" s="50" t="str">
        <f>IF(Bozza!$A$51 = "Studio biblico", "X", "")</f>
        <v/>
      </c>
      <c r="J223" s="8"/>
      <c r="K223" s="8"/>
      <c r="L223" s="9"/>
      <c r="M223" s="50" t="str">
        <f>IF(Bozza!$A$51 = "Primo contatto", "X", "")</f>
        <v/>
      </c>
      <c r="N223" s="8"/>
      <c r="O223" s="8"/>
      <c r="P223" s="8"/>
      <c r="Q223" s="8"/>
      <c r="R223" s="8"/>
      <c r="S223" s="8"/>
      <c r="T223" s="50" t="str">
        <f>IF(Bozza!$A$51 = "Studio biblico", "X", "")</f>
        <v/>
      </c>
      <c r="U223" s="9"/>
    </row>
    <row r="224" spans="2:21" ht="7.5" customHeight="1">
      <c r="B224" s="50"/>
      <c r="C224" s="8"/>
      <c r="D224" s="8"/>
      <c r="E224" s="8"/>
      <c r="F224" s="8"/>
      <c r="G224" s="8"/>
      <c r="H224" s="8"/>
      <c r="I224" s="50"/>
      <c r="J224" s="8"/>
      <c r="K224" s="8"/>
      <c r="L224" s="9"/>
      <c r="M224" s="50"/>
      <c r="N224" s="8"/>
      <c r="O224" s="8"/>
      <c r="P224" s="8"/>
      <c r="Q224" s="8"/>
      <c r="R224" s="8"/>
      <c r="S224" s="8"/>
      <c r="T224" s="50"/>
      <c r="U224" s="9"/>
    </row>
    <row r="225" spans="1:23" ht="6" customHeight="1">
      <c r="B225" s="50" t="str">
        <f>IF(Bozza!$A$51 = "Prima visita ulteriore", "X", "")</f>
        <v/>
      </c>
      <c r="C225" s="8"/>
      <c r="D225" s="8"/>
      <c r="E225" s="8"/>
      <c r="F225" s="8"/>
      <c r="G225" s="8"/>
      <c r="H225" s="8"/>
      <c r="I225" s="50" t="str">
        <f>IF(Bozza!$A$51 = "Discorso", "X", "")</f>
        <v/>
      </c>
      <c r="J225" s="8"/>
      <c r="K225" s="8"/>
      <c r="L225" s="9"/>
      <c r="M225" s="50" t="str">
        <f>IF(Bozza!$A$51 = "Prima visita ulteriore", "X", "")</f>
        <v/>
      </c>
      <c r="N225" s="8"/>
      <c r="O225" s="8"/>
      <c r="P225" s="8"/>
      <c r="Q225" s="8"/>
      <c r="R225" s="8"/>
      <c r="S225" s="8"/>
      <c r="T225" s="50" t="str">
        <f>IF(Bozza!$A$51 = "Discorso", "X", "")</f>
        <v/>
      </c>
      <c r="U225" s="9"/>
    </row>
    <row r="226" spans="1:23" ht="6" customHeight="1">
      <c r="B226" s="50"/>
      <c r="C226" s="8"/>
      <c r="D226" s="8"/>
      <c r="E226" s="8"/>
      <c r="F226" s="8"/>
      <c r="G226" s="8"/>
      <c r="H226" s="8"/>
      <c r="I226" s="50"/>
      <c r="J226" s="8"/>
      <c r="K226" s="8"/>
      <c r="L226" s="9"/>
      <c r="M226" s="50"/>
      <c r="N226" s="8"/>
      <c r="O226" s="8"/>
      <c r="P226" s="8"/>
      <c r="Q226" s="8"/>
      <c r="R226" s="8"/>
      <c r="S226" s="8"/>
      <c r="T226" s="50"/>
      <c r="U226" s="9"/>
    </row>
    <row r="227" spans="1:23" ht="7.5" customHeight="1">
      <c r="B227" s="50" t="str">
        <f>IF(Bozza!$A$51 = "Seconda visita ulteriore", "X", "")</f>
        <v/>
      </c>
      <c r="C227" s="8"/>
      <c r="D227" s="8"/>
      <c r="E227" s="8"/>
      <c r="F227" s="8"/>
      <c r="G227" s="8"/>
      <c r="H227" s="8"/>
      <c r="I227" s="50"/>
      <c r="J227" s="8"/>
      <c r="K227" s="8"/>
      <c r="L227" s="9"/>
      <c r="M227" s="50" t="str">
        <f>IF(Bozza!$A$51 = "Seconda visita ulteriore", "X", "")</f>
        <v/>
      </c>
      <c r="N227" s="8"/>
      <c r="O227" s="8"/>
      <c r="P227" s="8"/>
      <c r="Q227" s="8"/>
      <c r="R227" s="8"/>
      <c r="S227" s="8"/>
      <c r="T227" s="50"/>
      <c r="U227" s="9"/>
    </row>
    <row r="228" spans="1:23" ht="24" customHeight="1">
      <c r="C228" s="8"/>
      <c r="D228" s="8"/>
      <c r="E228" s="8"/>
      <c r="F228" s="8"/>
      <c r="G228" s="8"/>
      <c r="H228" s="8"/>
      <c r="J228" s="8"/>
      <c r="K228" s="8"/>
      <c r="L228" s="9"/>
      <c r="N228" s="9"/>
      <c r="O228" s="9"/>
      <c r="P228" s="9"/>
      <c r="Q228" s="9"/>
      <c r="R228" s="9"/>
      <c r="S228" s="9"/>
      <c r="U228" s="9"/>
    </row>
    <row r="229" spans="1:23" ht="6.75" customHeight="1">
      <c r="A229" s="8"/>
      <c r="B229" s="54" t="s">
        <v>16</v>
      </c>
      <c r="C229" s="8"/>
      <c r="D229" s="8"/>
      <c r="E229" s="155"/>
      <c r="F229" s="155"/>
      <c r="G229" s="155"/>
      <c r="H229" s="155"/>
      <c r="J229" s="8"/>
      <c r="K229" s="8"/>
      <c r="L229" s="49"/>
      <c r="N229" s="49"/>
      <c r="O229" s="49"/>
      <c r="P229" s="156"/>
      <c r="Q229" s="156"/>
      <c r="R229" s="156"/>
      <c r="S229" s="156"/>
      <c r="U229" s="49"/>
      <c r="V229" s="8"/>
      <c r="W229" s="8"/>
    </row>
    <row r="230" spans="1:23" s="8" customFormat="1" ht="6.75" customHeight="1">
      <c r="B230" s="54"/>
      <c r="E230" s="48"/>
      <c r="F230" s="48"/>
      <c r="G230" s="48"/>
      <c r="H230" s="48"/>
      <c r="I230" s="54"/>
      <c r="L230" s="49"/>
      <c r="M230" s="54"/>
      <c r="N230" s="49"/>
      <c r="O230" s="49"/>
      <c r="P230" s="49"/>
      <c r="Q230" s="49"/>
      <c r="R230" s="49"/>
      <c r="S230" s="49"/>
      <c r="T230" s="54"/>
      <c r="U230" s="49"/>
    </row>
    <row r="231" spans="1:23" s="8" customFormat="1" ht="8" customHeight="1">
      <c r="B231" s="54"/>
      <c r="E231" s="48"/>
      <c r="F231" s="48"/>
      <c r="G231" s="48"/>
      <c r="H231" s="48"/>
      <c r="I231" s="54"/>
      <c r="L231" s="49"/>
      <c r="M231" s="54" t="s">
        <v>16</v>
      </c>
      <c r="N231" s="49"/>
      <c r="O231" s="49"/>
      <c r="P231" s="49"/>
      <c r="Q231" s="49"/>
      <c r="R231" s="49"/>
      <c r="S231" s="49"/>
      <c r="T231" s="54"/>
      <c r="U231" s="49"/>
    </row>
    <row r="232" spans="1:23" s="8" customFormat="1" ht="6.75" customHeight="1">
      <c r="B232" s="54"/>
      <c r="E232" s="45"/>
      <c r="F232" s="45"/>
      <c r="G232" s="45"/>
      <c r="H232" s="45"/>
      <c r="I232" s="54"/>
      <c r="L232" s="46"/>
      <c r="M232" s="54"/>
      <c r="N232" s="46"/>
      <c r="O232" s="46"/>
      <c r="P232" s="46"/>
      <c r="Q232" s="46"/>
      <c r="R232" s="46"/>
      <c r="S232" s="46"/>
      <c r="T232" s="54"/>
      <c r="U232" s="46"/>
    </row>
    <row r="233" spans="1:23" s="8" customFormat="1" ht="7" customHeight="1">
      <c r="B233" s="54"/>
      <c r="E233" s="45"/>
      <c r="F233" s="45"/>
      <c r="G233" s="45"/>
      <c r="H233" s="45"/>
      <c r="I233" s="54"/>
      <c r="L233" s="46"/>
      <c r="M233" s="54"/>
      <c r="N233" s="46"/>
      <c r="O233" s="46"/>
      <c r="P233" s="46"/>
      <c r="Q233" s="46"/>
      <c r="R233" s="46"/>
      <c r="S233" s="46"/>
      <c r="T233" s="54"/>
      <c r="U233" s="46"/>
    </row>
    <row r="234" spans="1:23" s="8" customFormat="1" ht="6.75" customHeight="1">
      <c r="B234" s="54"/>
      <c r="E234" s="45"/>
      <c r="F234" s="45"/>
      <c r="G234" s="45"/>
      <c r="H234" s="45"/>
      <c r="I234" s="54"/>
      <c r="L234" s="46"/>
      <c r="M234" s="54"/>
      <c r="N234" s="46"/>
      <c r="O234" s="46"/>
      <c r="P234" s="46"/>
      <c r="Q234" s="46"/>
      <c r="R234" s="46"/>
      <c r="S234" s="46"/>
      <c r="T234" s="54"/>
      <c r="U234" s="46"/>
    </row>
    <row r="235" spans="1:23" ht="84" customHeight="1">
      <c r="C235" s="8"/>
      <c r="D235" s="8"/>
      <c r="E235" s="8"/>
      <c r="F235" s="8"/>
      <c r="G235" s="8"/>
      <c r="H235" s="8"/>
      <c r="J235" s="8"/>
      <c r="K235" s="8"/>
      <c r="L235" s="9"/>
      <c r="N235" s="9"/>
      <c r="O235" s="9"/>
      <c r="P235" s="9"/>
      <c r="Q235" s="9"/>
      <c r="R235" s="9"/>
      <c r="S235" s="9"/>
      <c r="U235" s="9"/>
    </row>
    <row r="236" spans="1:23" ht="68.25" customHeight="1">
      <c r="C236" s="8"/>
      <c r="D236" s="8"/>
      <c r="E236" s="8"/>
      <c r="F236" s="8"/>
      <c r="G236" s="8"/>
      <c r="H236" s="8"/>
      <c r="J236" s="8"/>
      <c r="K236" s="8"/>
      <c r="L236" s="9"/>
      <c r="N236" s="9"/>
      <c r="O236" s="9"/>
      <c r="P236" s="9"/>
      <c r="Q236" s="9"/>
      <c r="R236" s="9"/>
      <c r="S236" s="9"/>
      <c r="U236" s="9"/>
    </row>
    <row r="237" spans="1:23" ht="12" customHeight="1">
      <c r="C237" s="8"/>
      <c r="D237" s="8"/>
      <c r="E237" s="8"/>
      <c r="F237" s="8"/>
      <c r="G237" s="8"/>
      <c r="H237" s="155">
        <f>Bozza!$C$53</f>
        <v>0</v>
      </c>
      <c r="I237" s="155"/>
      <c r="J237" s="155"/>
      <c r="K237" s="8"/>
      <c r="L237" s="9"/>
      <c r="N237" s="9"/>
      <c r="O237" s="9"/>
      <c r="P237" s="9"/>
      <c r="Q237" s="9"/>
      <c r="R237" s="9"/>
      <c r="S237" s="159">
        <f>Bozza!F53</f>
        <v>0</v>
      </c>
      <c r="T237" s="156"/>
      <c r="U237" s="156"/>
    </row>
    <row r="238" spans="1:23" ht="11.25" customHeight="1">
      <c r="C238" s="8"/>
      <c r="D238" s="8"/>
      <c r="E238" s="8"/>
      <c r="F238" s="8"/>
      <c r="G238" s="8"/>
      <c r="H238" s="8"/>
      <c r="J238" s="8"/>
      <c r="K238" s="8"/>
      <c r="L238" s="9"/>
      <c r="N238" s="9"/>
      <c r="O238" s="9"/>
      <c r="P238" s="9"/>
      <c r="Q238" s="9"/>
      <c r="R238" s="9"/>
      <c r="S238" s="9"/>
      <c r="U238" s="9"/>
    </row>
    <row r="239" spans="1:23" ht="16" customHeight="1">
      <c r="C239" s="8"/>
      <c r="D239" s="8"/>
      <c r="E239" s="8"/>
      <c r="F239" s="155">
        <f>Bozza!$C$54</f>
        <v>0</v>
      </c>
      <c r="G239" s="155"/>
      <c r="H239" s="155"/>
      <c r="I239" s="155"/>
      <c r="J239" s="155"/>
      <c r="K239" s="8"/>
      <c r="L239" s="9"/>
      <c r="N239" s="9"/>
      <c r="O239" s="9"/>
      <c r="P239" s="9"/>
      <c r="Q239" s="156">
        <f>Bozza!F54</f>
        <v>0</v>
      </c>
      <c r="R239" s="156"/>
      <c r="S239" s="156"/>
      <c r="T239" s="156"/>
      <c r="U239" s="156"/>
    </row>
    <row r="240" spans="1:23" ht="11.25" customHeight="1">
      <c r="C240" s="8"/>
      <c r="D240" s="8"/>
      <c r="E240" s="8"/>
      <c r="F240" s="8"/>
      <c r="G240" s="8"/>
      <c r="H240" s="8"/>
      <c r="J240" s="8"/>
      <c r="K240" s="8"/>
      <c r="L240" s="9"/>
      <c r="N240" s="9"/>
      <c r="O240" s="9"/>
      <c r="P240" s="9"/>
      <c r="Q240" s="9"/>
      <c r="R240" s="9"/>
      <c r="S240" s="9"/>
      <c r="U240" s="9"/>
    </row>
    <row r="241" spans="1:23" ht="17" customHeight="1">
      <c r="C241" s="8"/>
      <c r="D241" s="157">
        <f>D217</f>
        <v>14</v>
      </c>
      <c r="E241" s="156"/>
      <c r="F241" s="156"/>
      <c r="G241" s="156"/>
      <c r="H241" s="156"/>
      <c r="I241" s="156"/>
      <c r="J241" s="156"/>
      <c r="K241" s="8"/>
      <c r="L241" s="9"/>
      <c r="N241" s="9"/>
      <c r="O241" s="157">
        <f>D241</f>
        <v>14</v>
      </c>
      <c r="P241" s="156"/>
      <c r="Q241" s="156"/>
      <c r="R241" s="156"/>
      <c r="S241" s="156"/>
      <c r="T241" s="156"/>
      <c r="U241" s="156"/>
    </row>
    <row r="242" spans="1:23" ht="13.5" customHeight="1">
      <c r="C242" s="8"/>
      <c r="D242" s="8"/>
      <c r="E242" s="8"/>
      <c r="F242" s="8"/>
      <c r="G242" s="8"/>
      <c r="H242" s="8"/>
      <c r="J242" s="8"/>
      <c r="K242" s="8"/>
      <c r="L242" s="9"/>
      <c r="N242" s="9"/>
      <c r="O242" s="9"/>
      <c r="P242" s="9"/>
      <c r="Q242" s="9"/>
      <c r="R242" s="9"/>
      <c r="S242" s="9"/>
      <c r="U242" s="9"/>
    </row>
    <row r="243" spans="1:23" ht="15" customHeight="1">
      <c r="C243" s="8"/>
      <c r="D243" s="8"/>
      <c r="E243" s="8"/>
      <c r="F243" s="8"/>
      <c r="G243" s="156">
        <f>Bozza!$E$53</f>
        <v>0</v>
      </c>
      <c r="H243" s="156"/>
      <c r="I243" s="156"/>
      <c r="J243" s="156"/>
      <c r="K243" s="8"/>
      <c r="L243" s="9"/>
      <c r="N243" s="9"/>
      <c r="O243" s="9"/>
      <c r="P243" s="9"/>
      <c r="Q243" s="9"/>
      <c r="R243" s="156">
        <f>Bozza!H53</f>
        <v>0</v>
      </c>
      <c r="S243" s="156"/>
      <c r="T243" s="156"/>
      <c r="U243" s="156"/>
    </row>
    <row r="244" spans="1:23" ht="34" customHeight="1">
      <c r="C244" s="8"/>
      <c r="D244" s="8"/>
      <c r="E244" s="8"/>
      <c r="F244" s="8"/>
      <c r="G244" s="8"/>
      <c r="H244" s="8"/>
      <c r="J244" s="8"/>
      <c r="K244" s="8"/>
      <c r="L244" s="9"/>
      <c r="N244" s="9"/>
      <c r="O244" s="9"/>
      <c r="P244" s="9"/>
      <c r="Q244" s="9"/>
      <c r="R244" s="9"/>
      <c r="S244" s="9"/>
      <c r="U244" s="9"/>
    </row>
    <row r="245" spans="1:23" ht="6" customHeight="1">
      <c r="B245" s="50" t="str">
        <f>IF(Bozza!$A$53 = "Lettura biblica", "X", "")</f>
        <v/>
      </c>
      <c r="C245" s="8"/>
      <c r="D245" s="8"/>
      <c r="E245" s="8"/>
      <c r="F245" s="8"/>
      <c r="G245" s="8"/>
      <c r="H245" s="8"/>
      <c r="I245" s="50" t="str">
        <f>IF(Bozza!$A$53 = "Terza visita ulteriore", "X", "")</f>
        <v/>
      </c>
      <c r="J245" s="8"/>
      <c r="K245" s="8"/>
      <c r="L245" s="9"/>
      <c r="M245" s="50" t="str">
        <f>IF(Bozza!$A$53 = "Lettura biblica", "X", "")</f>
        <v/>
      </c>
      <c r="N245" s="8"/>
      <c r="O245" s="8"/>
      <c r="P245" s="8"/>
      <c r="Q245" s="8"/>
      <c r="R245" s="8"/>
      <c r="S245" s="8"/>
      <c r="T245" s="50" t="str">
        <f>IF(Bozza!$A$53 = "Terza visita ulteriore", "X", "")</f>
        <v/>
      </c>
      <c r="U245" s="9"/>
    </row>
    <row r="246" spans="1:23" ht="6.75" customHeight="1">
      <c r="B246" s="50"/>
      <c r="C246" s="8"/>
      <c r="D246" s="8"/>
      <c r="E246" s="8"/>
      <c r="F246" s="8"/>
      <c r="G246" s="8"/>
      <c r="H246" s="8"/>
      <c r="I246" s="50"/>
      <c r="J246" s="8"/>
      <c r="K246" s="8"/>
      <c r="L246" s="9"/>
      <c r="M246" s="50"/>
      <c r="N246" s="8"/>
      <c r="O246" s="8"/>
      <c r="P246" s="8"/>
      <c r="Q246" s="8"/>
      <c r="R246" s="8"/>
      <c r="S246" s="8"/>
      <c r="T246" s="50"/>
      <c r="U246" s="9"/>
    </row>
    <row r="247" spans="1:23" ht="7" customHeight="1">
      <c r="B247" s="50" t="str">
        <f>IF(Bozza!$A$53 = "Primo contatto", "X", "")</f>
        <v/>
      </c>
      <c r="C247" s="8"/>
      <c r="D247" s="8"/>
      <c r="E247" s="8"/>
      <c r="F247" s="8"/>
      <c r="G247" s="8"/>
      <c r="H247" s="8"/>
      <c r="I247" s="50" t="str">
        <f>IF(Bozza!$A$53 = "Studio biblico", "X", "")</f>
        <v/>
      </c>
      <c r="J247" s="8"/>
      <c r="K247" s="8"/>
      <c r="L247" s="9"/>
      <c r="M247" s="50" t="str">
        <f>IF(Bozza!$A$53 = "Primo contatto", "X", "")</f>
        <v/>
      </c>
      <c r="N247" s="8"/>
      <c r="O247" s="8"/>
      <c r="P247" s="8"/>
      <c r="Q247" s="8"/>
      <c r="R247" s="8"/>
      <c r="S247" s="8"/>
      <c r="T247" s="50" t="str">
        <f>IF(Bozza!$A$53 = "Studio biblico", "X", "")</f>
        <v/>
      </c>
      <c r="U247" s="9"/>
    </row>
    <row r="248" spans="1:23" ht="7.5" customHeight="1">
      <c r="B248" s="50"/>
      <c r="C248" s="8"/>
      <c r="D248" s="8"/>
      <c r="E248" s="8"/>
      <c r="F248" s="8"/>
      <c r="G248" s="8"/>
      <c r="H248" s="8"/>
      <c r="I248" s="50"/>
      <c r="J248" s="8"/>
      <c r="K248" s="8"/>
      <c r="L248" s="9"/>
      <c r="M248" s="50"/>
      <c r="N248" s="8"/>
      <c r="O248" s="8"/>
      <c r="P248" s="8"/>
      <c r="Q248" s="8"/>
      <c r="R248" s="8"/>
      <c r="S248" s="8"/>
      <c r="T248" s="50"/>
      <c r="U248" s="9"/>
    </row>
    <row r="249" spans="1:23" ht="6" customHeight="1">
      <c r="B249" s="50" t="str">
        <f>IF(Bozza!$A$53 = "Prima visita ulteriore", "X", "")</f>
        <v/>
      </c>
      <c r="C249" s="8"/>
      <c r="D249" s="8"/>
      <c r="E249" s="8"/>
      <c r="F249" s="8"/>
      <c r="G249" s="8"/>
      <c r="H249" s="8"/>
      <c r="I249" s="50" t="str">
        <f>IF(Bozza!$A$53 = "Discorso", "X", "")</f>
        <v/>
      </c>
      <c r="J249" s="8"/>
      <c r="K249" s="8"/>
      <c r="L249" s="9"/>
      <c r="M249" s="50" t="str">
        <f>IF(Bozza!$A$53 = "Prima visita ulteriore", "X", "")</f>
        <v/>
      </c>
      <c r="N249" s="8"/>
      <c r="O249" s="8"/>
      <c r="P249" s="8"/>
      <c r="Q249" s="8"/>
      <c r="R249" s="8"/>
      <c r="S249" s="8"/>
      <c r="T249" s="50" t="str">
        <f>IF(Bozza!$A$53 = "Discorso", "X", "")</f>
        <v/>
      </c>
      <c r="U249" s="9"/>
    </row>
    <row r="250" spans="1:23" ht="6" customHeight="1">
      <c r="B250" s="50"/>
      <c r="C250" s="8"/>
      <c r="D250" s="8"/>
      <c r="E250" s="8"/>
      <c r="F250" s="8"/>
      <c r="G250" s="8"/>
      <c r="H250" s="8"/>
      <c r="I250" s="50"/>
      <c r="J250" s="8"/>
      <c r="K250" s="8"/>
      <c r="L250" s="9"/>
      <c r="M250" s="50"/>
      <c r="N250" s="8"/>
      <c r="O250" s="8"/>
      <c r="P250" s="8"/>
      <c r="Q250" s="8"/>
      <c r="R250" s="8"/>
      <c r="S250" s="8"/>
      <c r="T250" s="50"/>
      <c r="U250" s="9"/>
    </row>
    <row r="251" spans="1:23" ht="7.5" customHeight="1">
      <c r="B251" s="50" t="str">
        <f>IF(Bozza!$A$53 = "Seconda visita ulteriore", "X", "")</f>
        <v/>
      </c>
      <c r="C251" s="8"/>
      <c r="D251" s="8"/>
      <c r="E251" s="8"/>
      <c r="F251" s="8"/>
      <c r="G251" s="8"/>
      <c r="H251" s="8"/>
      <c r="I251" s="50"/>
      <c r="J251" s="8"/>
      <c r="K251" s="8"/>
      <c r="L251" s="9"/>
      <c r="M251" s="50" t="str">
        <f>IF(Bozza!$A$53 = "Seconda visita ulteriore", "X", "")</f>
        <v/>
      </c>
      <c r="N251" s="8"/>
      <c r="O251" s="8"/>
      <c r="P251" s="8"/>
      <c r="Q251" s="8"/>
      <c r="R251" s="8"/>
      <c r="S251" s="8"/>
      <c r="T251" s="50"/>
      <c r="U251" s="9"/>
    </row>
    <row r="252" spans="1:23" ht="24" customHeight="1">
      <c r="C252" s="8"/>
      <c r="D252" s="8"/>
      <c r="E252" s="8"/>
      <c r="F252" s="8"/>
      <c r="G252" s="8"/>
      <c r="H252" s="8"/>
      <c r="J252" s="8"/>
      <c r="K252" s="8"/>
      <c r="L252" s="9"/>
      <c r="N252" s="9"/>
      <c r="O252" s="9"/>
      <c r="P252" s="9"/>
      <c r="Q252" s="9"/>
      <c r="R252" s="9"/>
      <c r="S252" s="9"/>
      <c r="U252" s="9"/>
    </row>
    <row r="253" spans="1:23" ht="6.75" customHeight="1">
      <c r="A253" s="8"/>
      <c r="B253" s="54" t="s">
        <v>16</v>
      </c>
      <c r="C253" s="8"/>
      <c r="D253" s="8"/>
      <c r="E253" s="155"/>
      <c r="F253" s="155"/>
      <c r="G253" s="155"/>
      <c r="H253" s="155"/>
      <c r="J253" s="8"/>
      <c r="K253" s="8"/>
      <c r="L253" s="49"/>
      <c r="N253" s="49"/>
      <c r="O253" s="49"/>
      <c r="P253" s="156"/>
      <c r="Q253" s="156"/>
      <c r="R253" s="156"/>
      <c r="S253" s="156"/>
      <c r="U253" s="49"/>
      <c r="V253" s="8"/>
      <c r="W253" s="8"/>
    </row>
    <row r="254" spans="1:23" s="8" customFormat="1" ht="6.75" customHeight="1">
      <c r="B254" s="54"/>
      <c r="E254" s="48"/>
      <c r="F254" s="48"/>
      <c r="G254" s="48"/>
      <c r="H254" s="48"/>
      <c r="I254" s="54"/>
      <c r="L254" s="49"/>
      <c r="M254" s="54"/>
      <c r="N254" s="49"/>
      <c r="O254" s="49"/>
      <c r="P254" s="49"/>
      <c r="Q254" s="49"/>
      <c r="R254" s="49"/>
      <c r="S254" s="49"/>
      <c r="T254" s="54"/>
      <c r="U254" s="49"/>
    </row>
    <row r="255" spans="1:23" s="8" customFormat="1" ht="8" customHeight="1">
      <c r="B255" s="54"/>
      <c r="E255" s="48"/>
      <c r="F255" s="48"/>
      <c r="G255" s="48"/>
      <c r="H255" s="48"/>
      <c r="I255" s="54"/>
      <c r="L255" s="49"/>
      <c r="M255" s="54" t="s">
        <v>16</v>
      </c>
      <c r="N255" s="49"/>
      <c r="O255" s="49"/>
      <c r="P255" s="49"/>
      <c r="Q255" s="49"/>
      <c r="R255" s="49"/>
      <c r="S255" s="49"/>
      <c r="T255" s="54"/>
      <c r="U255" s="49"/>
    </row>
    <row r="256" spans="1:23" s="8" customFormat="1" ht="6.75" customHeight="1">
      <c r="B256" s="54"/>
      <c r="E256" s="45"/>
      <c r="F256" s="45"/>
      <c r="G256" s="45"/>
      <c r="H256" s="45"/>
      <c r="I256" s="54"/>
      <c r="L256" s="46"/>
      <c r="M256" s="54"/>
      <c r="N256" s="46"/>
      <c r="O256" s="46"/>
      <c r="P256" s="46"/>
      <c r="Q256" s="46"/>
      <c r="R256" s="46"/>
      <c r="S256" s="46"/>
      <c r="T256" s="54"/>
      <c r="U256" s="46"/>
    </row>
    <row r="257" spans="2:21" s="8" customFormat="1" ht="6.75" customHeight="1">
      <c r="B257" s="54"/>
      <c r="E257" s="45"/>
      <c r="F257" s="45"/>
      <c r="G257" s="45"/>
      <c r="H257" s="45"/>
      <c r="I257" s="54"/>
      <c r="L257" s="46"/>
      <c r="M257" s="54"/>
      <c r="N257" s="46"/>
      <c r="O257" s="46"/>
      <c r="P257" s="46"/>
      <c r="Q257" s="46"/>
      <c r="R257" s="46"/>
      <c r="S257" s="46"/>
      <c r="T257" s="54"/>
      <c r="U257" s="46"/>
    </row>
    <row r="258" spans="2:21" ht="91" customHeight="1">
      <c r="C258" s="8"/>
      <c r="D258" s="8"/>
      <c r="E258" s="8"/>
      <c r="F258" s="8"/>
      <c r="G258" s="8"/>
      <c r="H258" s="8"/>
      <c r="J258" s="8"/>
      <c r="K258" s="8"/>
      <c r="L258" s="9"/>
      <c r="N258" s="9"/>
      <c r="O258" s="9"/>
      <c r="P258" s="9"/>
      <c r="Q258" s="9"/>
      <c r="R258" s="9"/>
      <c r="S258" s="9"/>
      <c r="U258" s="9"/>
    </row>
    <row r="259" spans="2:21" ht="68.25" customHeight="1">
      <c r="C259" s="8"/>
      <c r="D259" s="8"/>
      <c r="E259" s="8"/>
      <c r="F259" s="8"/>
      <c r="G259" s="8"/>
      <c r="H259" s="8"/>
      <c r="J259" s="8"/>
      <c r="K259" s="8"/>
      <c r="L259" s="9"/>
      <c r="N259" s="9"/>
      <c r="O259" s="9"/>
      <c r="P259" s="9"/>
      <c r="Q259" s="9"/>
      <c r="R259" s="9"/>
      <c r="S259" s="9"/>
      <c r="U259" s="9"/>
    </row>
    <row r="260" spans="2:21" ht="12" customHeight="1">
      <c r="C260" s="8"/>
      <c r="D260" s="8"/>
      <c r="E260" s="8"/>
      <c r="F260" s="8"/>
      <c r="G260" s="8"/>
      <c r="H260" s="155">
        <f>Bozza!$C$55</f>
        <v>0</v>
      </c>
      <c r="I260" s="155"/>
      <c r="J260" s="155"/>
      <c r="K260" s="8"/>
      <c r="L260" s="9"/>
      <c r="N260" s="9"/>
      <c r="O260" s="9"/>
      <c r="P260" s="9"/>
      <c r="Q260" s="9"/>
      <c r="R260" s="9"/>
      <c r="S260" s="159">
        <f>Bozza!F55</f>
        <v>0</v>
      </c>
      <c r="T260" s="156"/>
      <c r="U260" s="156"/>
    </row>
    <row r="261" spans="2:21" ht="11.25" customHeight="1">
      <c r="C261" s="8"/>
      <c r="D261" s="8"/>
      <c r="E261" s="8"/>
      <c r="F261" s="8"/>
      <c r="G261" s="8"/>
      <c r="H261" s="8"/>
      <c r="J261" s="8"/>
      <c r="K261" s="8"/>
      <c r="L261" s="9"/>
      <c r="N261" s="9"/>
      <c r="O261" s="9"/>
      <c r="P261" s="9"/>
      <c r="Q261" s="9"/>
      <c r="R261" s="9"/>
      <c r="S261" s="9"/>
      <c r="U261" s="9"/>
    </row>
    <row r="262" spans="2:21" ht="17" customHeight="1">
      <c r="C262" s="8"/>
      <c r="D262" s="8"/>
      <c r="E262" s="8"/>
      <c r="F262" s="155">
        <f>Bozza!$C$56</f>
        <v>0</v>
      </c>
      <c r="G262" s="155"/>
      <c r="H262" s="155"/>
      <c r="I262" s="155"/>
      <c r="J262" s="155"/>
      <c r="K262" s="8"/>
      <c r="L262" s="9"/>
      <c r="N262" s="9"/>
      <c r="O262" s="9"/>
      <c r="P262" s="9"/>
      <c r="Q262" s="159">
        <f>Bozza!F56</f>
        <v>0</v>
      </c>
      <c r="R262" s="156"/>
      <c r="S262" s="156"/>
      <c r="T262" s="156"/>
      <c r="U262" s="156"/>
    </row>
    <row r="263" spans="2:21" ht="11.25" customHeight="1">
      <c r="C263" s="8"/>
      <c r="D263" s="8"/>
      <c r="E263" s="8"/>
      <c r="F263" s="8"/>
      <c r="G263" s="8"/>
      <c r="H263" s="8"/>
      <c r="J263" s="8"/>
      <c r="K263" s="8"/>
      <c r="L263" s="9"/>
      <c r="N263" s="9"/>
      <c r="O263" s="9"/>
      <c r="P263" s="9"/>
      <c r="Q263" s="9"/>
      <c r="R263" s="9"/>
      <c r="S263" s="9"/>
      <c r="U263" s="9"/>
    </row>
    <row r="264" spans="2:21" ht="16" customHeight="1">
      <c r="C264" s="8"/>
      <c r="D264" s="157">
        <f>D241</f>
        <v>14</v>
      </c>
      <c r="E264" s="156"/>
      <c r="F264" s="156"/>
      <c r="G264" s="156"/>
      <c r="H264" s="156"/>
      <c r="I264" s="156"/>
      <c r="J264" s="156"/>
      <c r="K264" s="8"/>
      <c r="L264" s="9"/>
      <c r="N264" s="9"/>
      <c r="O264" s="157">
        <f>D264</f>
        <v>14</v>
      </c>
      <c r="P264" s="156"/>
      <c r="Q264" s="156"/>
      <c r="R264" s="156"/>
      <c r="S264" s="156"/>
      <c r="T264" s="156"/>
      <c r="U264" s="156"/>
    </row>
    <row r="265" spans="2:21" ht="13.5" customHeight="1">
      <c r="C265" s="8"/>
      <c r="D265" s="8"/>
      <c r="E265" s="8"/>
      <c r="F265" s="8"/>
      <c r="G265" s="8"/>
      <c r="H265" s="8"/>
      <c r="J265" s="8"/>
      <c r="K265" s="8"/>
      <c r="L265" s="9"/>
      <c r="N265" s="9"/>
      <c r="O265" s="9"/>
      <c r="P265" s="9"/>
      <c r="Q265" s="9"/>
      <c r="R265" s="9"/>
      <c r="S265" s="9"/>
      <c r="U265" s="9"/>
    </row>
    <row r="266" spans="2:21" ht="15" customHeight="1">
      <c r="C266" s="8"/>
      <c r="D266" s="8"/>
      <c r="E266" s="8"/>
      <c r="F266" s="8"/>
      <c r="G266" s="160">
        <f>Bozza!$E$55</f>
        <v>0</v>
      </c>
      <c r="H266" s="156"/>
      <c r="I266" s="156"/>
      <c r="J266" s="156"/>
      <c r="K266" s="8"/>
      <c r="L266" s="9"/>
      <c r="N266" s="9"/>
      <c r="O266" s="9"/>
      <c r="P266" s="9"/>
      <c r="Q266" s="9"/>
      <c r="R266" s="156">
        <f>Bozza!H55</f>
        <v>0</v>
      </c>
      <c r="S266" s="156"/>
      <c r="T266" s="156"/>
      <c r="U266" s="156"/>
    </row>
    <row r="267" spans="2:21" ht="34" customHeight="1">
      <c r="C267" s="8"/>
      <c r="D267" s="8"/>
      <c r="E267" s="8"/>
      <c r="F267" s="8"/>
      <c r="G267" s="8"/>
      <c r="H267" s="8"/>
      <c r="J267" s="8"/>
      <c r="K267" s="8"/>
      <c r="L267" s="9"/>
      <c r="N267" s="9"/>
      <c r="O267" s="9"/>
      <c r="P267" s="9"/>
      <c r="Q267" s="9"/>
      <c r="R267" s="9"/>
      <c r="S267" s="9"/>
      <c r="U267" s="9"/>
    </row>
    <row r="268" spans="2:21" ht="8" customHeight="1">
      <c r="B268" s="50" t="str">
        <f>IF(Bozza!$A$55 = "Lettura biblica", "X", "")</f>
        <v/>
      </c>
      <c r="C268" s="8"/>
      <c r="D268" s="8"/>
      <c r="E268" s="8"/>
      <c r="F268" s="8"/>
      <c r="G268" s="8"/>
      <c r="H268" s="8"/>
      <c r="I268" s="50" t="str">
        <f>IF(Bozza!$A$55 = "Terza visita ulteriore", "X", "")</f>
        <v/>
      </c>
      <c r="J268" s="8"/>
      <c r="K268" s="8"/>
      <c r="L268" s="9"/>
      <c r="M268" s="50" t="str">
        <f>IF(Bozza!$A$55 = "Lettura biblica", "X", "")</f>
        <v/>
      </c>
      <c r="N268" s="8"/>
      <c r="O268" s="8"/>
      <c r="P268" s="8"/>
      <c r="Q268" s="8"/>
      <c r="R268" s="8"/>
      <c r="S268" s="8"/>
      <c r="T268" s="50" t="str">
        <f>IF(Bozza!$A$55 = "Terza visita ulteriore", "X", "")</f>
        <v/>
      </c>
      <c r="U268" s="9"/>
    </row>
    <row r="269" spans="2:21" ht="6.75" customHeight="1">
      <c r="B269" s="50"/>
      <c r="C269" s="8"/>
      <c r="D269" s="8"/>
      <c r="E269" s="8"/>
      <c r="F269" s="8"/>
      <c r="G269" s="8"/>
      <c r="H269" s="8"/>
      <c r="I269" s="50"/>
      <c r="J269" s="8"/>
      <c r="K269" s="8"/>
      <c r="L269" s="9"/>
      <c r="M269" s="50"/>
      <c r="N269" s="8"/>
      <c r="O269" s="8"/>
      <c r="P269" s="8"/>
      <c r="Q269" s="8"/>
      <c r="R269" s="8"/>
      <c r="S269" s="8"/>
      <c r="T269" s="50"/>
      <c r="U269" s="9"/>
    </row>
    <row r="270" spans="2:21" ht="6" customHeight="1">
      <c r="B270" s="50" t="str">
        <f>IF(Bozza!$A$55 = "Primo contatto", "X", "")</f>
        <v/>
      </c>
      <c r="C270" s="8"/>
      <c r="D270" s="8"/>
      <c r="E270" s="8"/>
      <c r="F270" s="8"/>
      <c r="G270" s="8"/>
      <c r="H270" s="8"/>
      <c r="I270" s="50" t="str">
        <f>IF(Bozza!$A$55 = "Studio biblico", "X", "")</f>
        <v/>
      </c>
      <c r="J270" s="8"/>
      <c r="K270" s="8"/>
      <c r="L270" s="9"/>
      <c r="M270" s="50" t="str">
        <f>IF(Bozza!$A$55 = "Primo contatto", "X", "")</f>
        <v/>
      </c>
      <c r="N270" s="8"/>
      <c r="O270" s="8"/>
      <c r="P270" s="8"/>
      <c r="Q270" s="8"/>
      <c r="R270" s="8"/>
      <c r="S270" s="8"/>
      <c r="T270" s="50" t="str">
        <f>IF(Bozza!$A$55 = "Studio biblico", "X", "")</f>
        <v/>
      </c>
      <c r="U270" s="9"/>
    </row>
    <row r="271" spans="2:21" ht="6.75" customHeight="1">
      <c r="B271" s="50"/>
      <c r="C271" s="8"/>
      <c r="D271" s="8"/>
      <c r="E271" s="8"/>
      <c r="F271" s="8"/>
      <c r="G271" s="8"/>
      <c r="H271" s="8"/>
      <c r="I271" s="50"/>
      <c r="J271" s="8"/>
      <c r="K271" s="8"/>
      <c r="L271" s="9"/>
      <c r="M271" s="50"/>
      <c r="N271" s="8"/>
      <c r="O271" s="8"/>
      <c r="P271" s="8"/>
      <c r="Q271" s="8"/>
      <c r="R271" s="8"/>
      <c r="S271" s="8"/>
      <c r="T271" s="50"/>
      <c r="U271" s="9"/>
    </row>
    <row r="272" spans="2:21" ht="7" customHeight="1">
      <c r="B272" s="50" t="str">
        <f>IF(Bozza!$A$55 = "Prima visita ulteriore", "X", "")</f>
        <v/>
      </c>
      <c r="C272" s="8"/>
      <c r="D272" s="8"/>
      <c r="E272" s="8"/>
      <c r="F272" s="8"/>
      <c r="G272" s="8"/>
      <c r="H272" s="8"/>
      <c r="I272" s="50" t="str">
        <f>IF(Bozza!$A$55 = "Discorso", "X", "")</f>
        <v/>
      </c>
      <c r="J272" s="8"/>
      <c r="K272" s="8"/>
      <c r="L272" s="9"/>
      <c r="M272" s="50" t="str">
        <f>IF(Bozza!$A$55 = "Prima visita ulteriore", "X", "")</f>
        <v/>
      </c>
      <c r="N272" s="8"/>
      <c r="O272" s="8"/>
      <c r="P272" s="8"/>
      <c r="Q272" s="8"/>
      <c r="R272" s="8"/>
      <c r="S272" s="8"/>
      <c r="T272" s="50" t="str">
        <f>IF(Bozza!$A$55 = "Discorso", "X", "")</f>
        <v/>
      </c>
      <c r="U272" s="9"/>
    </row>
    <row r="273" spans="1:23" ht="7.5" customHeight="1">
      <c r="B273" s="50"/>
      <c r="C273" s="8"/>
      <c r="D273" s="8"/>
      <c r="E273" s="8"/>
      <c r="F273" s="8"/>
      <c r="G273" s="8"/>
      <c r="H273" s="8"/>
      <c r="I273" s="50"/>
      <c r="J273" s="8"/>
      <c r="K273" s="8"/>
      <c r="L273" s="9"/>
      <c r="M273" s="50"/>
      <c r="N273" s="8"/>
      <c r="O273" s="8"/>
      <c r="P273" s="8"/>
      <c r="Q273" s="8"/>
      <c r="R273" s="8"/>
      <c r="S273" s="8"/>
      <c r="T273" s="50"/>
      <c r="U273" s="9"/>
    </row>
    <row r="274" spans="1:23" ht="6.75" customHeight="1">
      <c r="B274" s="50" t="str">
        <f>IF(Bozza!$A$55 = "Seconda visita ulteriore", "X", "")</f>
        <v/>
      </c>
      <c r="C274" s="8"/>
      <c r="D274" s="8"/>
      <c r="E274" s="8"/>
      <c r="F274" s="8"/>
      <c r="G274" s="8"/>
      <c r="H274" s="8"/>
      <c r="I274" s="50"/>
      <c r="J274" s="8"/>
      <c r="K274" s="8"/>
      <c r="L274" s="9"/>
      <c r="M274" s="50" t="str">
        <f>IF(Bozza!$A$55 = "Seconda visita ulteriore", "X", "")</f>
        <v/>
      </c>
      <c r="N274" s="8"/>
      <c r="O274" s="8"/>
      <c r="P274" s="8"/>
      <c r="Q274" s="8"/>
      <c r="R274" s="8"/>
      <c r="S274" s="8"/>
      <c r="T274" s="50"/>
      <c r="U274" s="9"/>
    </row>
    <row r="275" spans="1:23" ht="24" customHeight="1">
      <c r="C275" s="8"/>
      <c r="D275" s="8"/>
      <c r="E275" s="51"/>
      <c r="F275" s="51"/>
      <c r="G275" s="51"/>
      <c r="H275" s="51"/>
      <c r="J275" s="8"/>
      <c r="K275" s="8"/>
      <c r="L275" s="9"/>
      <c r="N275" s="9"/>
      <c r="O275" s="9"/>
      <c r="P275" s="9"/>
      <c r="Q275" s="9"/>
      <c r="R275" s="9"/>
      <c r="S275" s="9"/>
      <c r="U275" s="9"/>
    </row>
    <row r="276" spans="1:23" ht="6.75" customHeight="1">
      <c r="A276" s="52"/>
      <c r="B276" s="55" t="s">
        <v>16</v>
      </c>
      <c r="C276" s="52"/>
      <c r="D276" s="52"/>
      <c r="E276" s="161"/>
      <c r="F276" s="161"/>
      <c r="G276" s="161"/>
      <c r="H276" s="161"/>
      <c r="I276" s="55"/>
      <c r="J276" s="52"/>
      <c r="K276" s="52"/>
      <c r="L276" s="53"/>
      <c r="M276" s="55"/>
      <c r="N276" s="53"/>
      <c r="O276" s="53"/>
      <c r="P276" s="162"/>
      <c r="Q276" s="162"/>
      <c r="R276" s="162"/>
      <c r="S276" s="162"/>
      <c r="T276" s="55"/>
      <c r="U276" s="53"/>
      <c r="V276" s="52"/>
      <c r="W276" s="52"/>
    </row>
    <row r="277" spans="1:23" s="8" customFormat="1" ht="6.75" customHeight="1">
      <c r="A277" s="52"/>
      <c r="B277" s="55"/>
      <c r="C277" s="52"/>
      <c r="D277" s="52"/>
      <c r="E277" s="52"/>
      <c r="F277" s="52"/>
      <c r="G277" s="52"/>
      <c r="H277" s="52"/>
      <c r="I277" s="55"/>
      <c r="J277" s="52"/>
      <c r="K277" s="52"/>
      <c r="L277" s="53"/>
      <c r="M277" s="55"/>
      <c r="N277" s="53"/>
      <c r="O277" s="53"/>
      <c r="P277" s="53"/>
      <c r="Q277" s="53"/>
      <c r="R277" s="53"/>
      <c r="S277" s="53"/>
      <c r="T277" s="55"/>
      <c r="U277" s="53"/>
      <c r="V277" s="52"/>
      <c r="W277" s="52"/>
    </row>
    <row r="278" spans="1:23" s="8" customFormat="1" ht="8" customHeight="1">
      <c r="A278" s="52"/>
      <c r="B278" s="55"/>
      <c r="C278" s="52"/>
      <c r="D278" s="52"/>
      <c r="E278" s="52"/>
      <c r="F278" s="52"/>
      <c r="G278" s="52"/>
      <c r="H278" s="52"/>
      <c r="I278" s="55"/>
      <c r="J278" s="52"/>
      <c r="K278" s="52"/>
      <c r="L278" s="53"/>
      <c r="M278" s="55" t="s">
        <v>16</v>
      </c>
      <c r="N278" s="53"/>
      <c r="O278" s="53"/>
      <c r="P278" s="53"/>
      <c r="Q278" s="53"/>
      <c r="R278" s="53"/>
      <c r="S278" s="53"/>
      <c r="T278" s="55"/>
      <c r="U278" s="53"/>
      <c r="V278" s="52"/>
      <c r="W278" s="52"/>
    </row>
    <row r="279" spans="1:23" s="8" customFormat="1" ht="5" customHeight="1">
      <c r="B279" s="54"/>
      <c r="E279" s="47"/>
      <c r="F279" s="47"/>
      <c r="G279" s="47"/>
      <c r="H279" s="47"/>
      <c r="I279" s="54"/>
      <c r="L279" s="46"/>
      <c r="M279" s="54"/>
      <c r="N279" s="46"/>
      <c r="O279" s="46"/>
      <c r="P279" s="46"/>
      <c r="Q279" s="46"/>
      <c r="R279" s="46"/>
      <c r="S279" s="46"/>
      <c r="T279" s="54"/>
      <c r="U279" s="46"/>
    </row>
    <row r="280" spans="1:23" s="8" customFormat="1" ht="9" customHeight="1">
      <c r="B280" s="54"/>
      <c r="E280" s="47"/>
      <c r="F280" s="47"/>
      <c r="G280" s="47"/>
      <c r="H280" s="47"/>
      <c r="I280" s="54"/>
      <c r="L280" s="46"/>
      <c r="M280" s="54"/>
      <c r="N280" s="46"/>
      <c r="O280" s="46"/>
      <c r="P280" s="46"/>
      <c r="Q280" s="46"/>
      <c r="R280" s="46"/>
      <c r="S280" s="46"/>
      <c r="T280" s="54"/>
      <c r="U280" s="46"/>
    </row>
    <row r="281" spans="1:23" ht="90" customHeight="1">
      <c r="C281" s="8"/>
      <c r="D281" s="8"/>
      <c r="E281" s="8"/>
      <c r="F281" s="8"/>
      <c r="G281" s="8"/>
      <c r="H281" s="8"/>
      <c r="J281" s="8"/>
      <c r="K281" s="8"/>
      <c r="L281" s="9"/>
      <c r="N281" s="9"/>
      <c r="O281" s="9"/>
      <c r="P281" s="9"/>
      <c r="Q281" s="9"/>
      <c r="R281" s="9"/>
      <c r="S281" s="9"/>
      <c r="U281" s="9"/>
    </row>
    <row r="282" spans="1:23" ht="68.25" customHeight="1">
      <c r="C282" s="8"/>
      <c r="D282" s="8"/>
      <c r="E282" s="8"/>
      <c r="F282" s="8"/>
      <c r="G282" s="8"/>
      <c r="H282" s="8"/>
      <c r="J282" s="8"/>
      <c r="K282" s="8"/>
      <c r="L282" s="9"/>
      <c r="N282" s="9"/>
      <c r="O282" s="9"/>
      <c r="P282" s="9"/>
      <c r="Q282" s="9"/>
      <c r="R282" s="9"/>
      <c r="S282" s="9"/>
      <c r="U282" s="9"/>
    </row>
    <row r="283" spans="1:23" ht="12" customHeight="1">
      <c r="C283" s="8"/>
      <c r="D283" s="8"/>
      <c r="E283" s="8"/>
      <c r="F283" s="8"/>
      <c r="G283" s="8"/>
      <c r="H283" s="155">
        <f>Bozza!$C$70</f>
        <v>0</v>
      </c>
      <c r="I283" s="155"/>
      <c r="J283" s="155"/>
      <c r="K283" s="8"/>
      <c r="L283" s="9"/>
      <c r="N283" s="9"/>
      <c r="O283" s="9"/>
      <c r="P283" s="9"/>
      <c r="Q283" s="9"/>
      <c r="R283" s="9"/>
      <c r="S283" s="156">
        <f>Bozza!F70</f>
        <v>0</v>
      </c>
      <c r="T283" s="156"/>
      <c r="U283" s="156"/>
    </row>
    <row r="284" spans="1:23" ht="11.25" customHeight="1">
      <c r="C284" s="8"/>
      <c r="D284" s="8"/>
      <c r="E284" s="8"/>
      <c r="F284" s="8"/>
      <c r="G284" s="8"/>
      <c r="H284" s="8"/>
      <c r="J284" s="8"/>
      <c r="K284" s="8"/>
      <c r="L284" s="9"/>
      <c r="N284" s="9"/>
      <c r="O284" s="9"/>
      <c r="P284" s="9"/>
      <c r="Q284" s="9"/>
      <c r="R284" s="9"/>
      <c r="S284" s="9"/>
      <c r="U284" s="9"/>
    </row>
    <row r="285" spans="1:23" ht="16" customHeight="1">
      <c r="C285" s="8"/>
      <c r="D285" s="8"/>
      <c r="E285" s="8"/>
      <c r="F285" s="155"/>
      <c r="G285" s="155"/>
      <c r="H285" s="155"/>
      <c r="I285" s="155"/>
      <c r="J285" s="155"/>
      <c r="K285" s="8"/>
      <c r="L285" s="9"/>
      <c r="N285" s="9"/>
      <c r="O285" s="9"/>
      <c r="P285" s="9"/>
      <c r="Q285" s="156"/>
      <c r="R285" s="156"/>
      <c r="S285" s="156"/>
      <c r="T285" s="156"/>
      <c r="U285" s="156"/>
    </row>
    <row r="286" spans="1:23" ht="11.25" customHeight="1">
      <c r="C286" s="8"/>
      <c r="D286" s="8"/>
      <c r="E286" s="8"/>
      <c r="F286" s="8"/>
      <c r="G286" s="8"/>
      <c r="H286" s="8"/>
      <c r="J286" s="8"/>
      <c r="K286" s="8"/>
      <c r="L286" s="9"/>
      <c r="N286" s="9"/>
      <c r="O286" s="9"/>
      <c r="P286" s="9"/>
      <c r="Q286" s="9"/>
      <c r="R286" s="9"/>
      <c r="S286" s="9"/>
      <c r="U286" s="9"/>
    </row>
    <row r="287" spans="1:23" ht="16" customHeight="1">
      <c r="C287" s="8"/>
      <c r="D287" s="157">
        <f>D264+7</f>
        <v>21</v>
      </c>
      <c r="E287" s="156"/>
      <c r="F287" s="156"/>
      <c r="G287" s="156"/>
      <c r="H287" s="156"/>
      <c r="I287" s="156"/>
      <c r="J287" s="156"/>
      <c r="K287" s="8"/>
      <c r="L287" s="9"/>
      <c r="N287" s="9"/>
      <c r="O287" s="157">
        <f>D287</f>
        <v>21</v>
      </c>
      <c r="P287" s="156"/>
      <c r="Q287" s="156"/>
      <c r="R287" s="156"/>
      <c r="S287" s="156"/>
      <c r="T287" s="156"/>
      <c r="U287" s="156"/>
    </row>
    <row r="288" spans="1:23" ht="13.5" customHeight="1">
      <c r="C288" s="8"/>
      <c r="D288" s="8"/>
      <c r="E288" s="8"/>
      <c r="F288" s="8"/>
      <c r="G288" s="8"/>
      <c r="H288" s="8"/>
      <c r="J288" s="8"/>
      <c r="K288" s="8"/>
      <c r="L288" s="9"/>
      <c r="N288" s="9"/>
      <c r="O288" s="9"/>
      <c r="P288" s="9"/>
      <c r="Q288" s="9"/>
      <c r="R288" s="9"/>
      <c r="S288" s="9"/>
      <c r="U288" s="9"/>
    </row>
    <row r="289" spans="1:23" ht="14" customHeight="1">
      <c r="C289" s="8"/>
      <c r="D289" s="8"/>
      <c r="E289" s="8"/>
      <c r="F289" s="8"/>
      <c r="G289" s="156">
        <f>Bozza!$E$70</f>
        <v>0</v>
      </c>
      <c r="H289" s="156"/>
      <c r="I289" s="156"/>
      <c r="J289" s="156"/>
      <c r="K289" s="8"/>
      <c r="L289" s="9"/>
      <c r="N289" s="9"/>
      <c r="O289" s="9"/>
      <c r="P289" s="9"/>
      <c r="Q289" s="9"/>
      <c r="R289" s="156">
        <f>Bozza!H70</f>
        <v>0</v>
      </c>
      <c r="S289" s="156"/>
      <c r="T289" s="156"/>
      <c r="U289" s="156"/>
    </row>
    <row r="290" spans="1:23" ht="35" customHeight="1">
      <c r="C290" s="8"/>
      <c r="D290" s="8"/>
      <c r="E290" s="8"/>
      <c r="F290" s="8"/>
      <c r="G290" s="8"/>
      <c r="H290" s="8"/>
      <c r="J290" s="8"/>
      <c r="K290" s="8"/>
      <c r="L290" s="9"/>
      <c r="N290" s="9"/>
      <c r="O290" s="9"/>
      <c r="P290" s="9"/>
      <c r="Q290" s="9"/>
      <c r="R290" s="9"/>
      <c r="S290" s="9"/>
      <c r="U290" s="9"/>
    </row>
    <row r="291" spans="1:23" ht="6.75" customHeight="1">
      <c r="B291" s="50" t="str">
        <f>IF(Bozza!$A$70 = "Lettura biblica", "X", "")</f>
        <v/>
      </c>
      <c r="C291" s="8"/>
      <c r="D291" s="8"/>
      <c r="E291" s="8"/>
      <c r="F291" s="8"/>
      <c r="G291" s="8"/>
      <c r="H291" s="8"/>
      <c r="I291" s="50" t="str">
        <f>IF(Bozza!$A$70 = "Terza visita ulteriore", "X", "")</f>
        <v/>
      </c>
      <c r="J291" s="8"/>
      <c r="K291" s="8"/>
      <c r="L291" s="9"/>
      <c r="M291" s="50" t="str">
        <f>IF(Bozza!$A$70 = "Lettura biblica", "X", "")</f>
        <v/>
      </c>
      <c r="N291" s="8"/>
      <c r="O291" s="8"/>
      <c r="P291" s="8"/>
      <c r="Q291" s="8"/>
      <c r="R291" s="8"/>
      <c r="S291" s="8"/>
      <c r="T291" s="50" t="str">
        <f>IF(Bozza!$A$70 = "Terza visita ulteriore", "X", "")</f>
        <v/>
      </c>
      <c r="U291" s="9"/>
    </row>
    <row r="292" spans="1:23" ht="6.75" customHeight="1">
      <c r="B292" s="50"/>
      <c r="C292" s="8"/>
      <c r="D292" s="8"/>
      <c r="E292" s="8"/>
      <c r="F292" s="8"/>
      <c r="G292" s="8"/>
      <c r="H292" s="8"/>
      <c r="I292" s="50"/>
      <c r="J292" s="8"/>
      <c r="K292" s="8"/>
      <c r="L292" s="9"/>
      <c r="M292" s="50"/>
      <c r="N292" s="8"/>
      <c r="O292" s="8"/>
      <c r="P292" s="8"/>
      <c r="Q292" s="8"/>
      <c r="R292" s="8"/>
      <c r="S292" s="8"/>
      <c r="T292" s="50"/>
      <c r="U292" s="9"/>
    </row>
    <row r="293" spans="1:23" ht="7" customHeight="1">
      <c r="B293" s="50" t="str">
        <f>IF(Bozza!$A$70 = "Primo contatto", "X", "")</f>
        <v/>
      </c>
      <c r="C293" s="8"/>
      <c r="D293" s="8"/>
      <c r="E293" s="8"/>
      <c r="F293" s="8"/>
      <c r="G293" s="8"/>
      <c r="H293" s="8"/>
      <c r="I293" s="50" t="str">
        <f>IF(Bozza!$A$70 = "Studio biblico", "X", "")</f>
        <v/>
      </c>
      <c r="J293" s="8"/>
      <c r="K293" s="8"/>
      <c r="L293" s="9"/>
      <c r="M293" s="50" t="str">
        <f>IF(Bozza!$A$70 = "Primo contatto", "X", "")</f>
        <v/>
      </c>
      <c r="N293" s="8"/>
      <c r="O293" s="8"/>
      <c r="P293" s="8"/>
      <c r="Q293" s="8"/>
      <c r="R293" s="8"/>
      <c r="S293" s="8"/>
      <c r="T293" s="50" t="str">
        <f>IF(Bozza!$A$70 = "Studio biblico", "X", "")</f>
        <v/>
      </c>
      <c r="U293" s="9"/>
    </row>
    <row r="294" spans="1:23" ht="6.75" customHeight="1">
      <c r="B294" s="50"/>
      <c r="C294" s="8"/>
      <c r="D294" s="8"/>
      <c r="E294" s="8"/>
      <c r="F294" s="8"/>
      <c r="G294" s="8"/>
      <c r="H294" s="8"/>
      <c r="I294" s="50"/>
      <c r="J294" s="8"/>
      <c r="K294" s="8"/>
      <c r="L294" s="9"/>
      <c r="M294" s="50"/>
      <c r="N294" s="8"/>
      <c r="O294" s="8"/>
      <c r="P294" s="8"/>
      <c r="Q294" s="8"/>
      <c r="R294" s="8"/>
      <c r="S294" s="8"/>
      <c r="T294" s="50"/>
      <c r="U294" s="9"/>
    </row>
    <row r="295" spans="1:23" ht="8" customHeight="1">
      <c r="B295" s="50" t="str">
        <f>IF(Bozza!$A$70 = "Prima visita ulteriore", "X", "")</f>
        <v/>
      </c>
      <c r="C295" s="8"/>
      <c r="D295" s="8"/>
      <c r="E295" s="8"/>
      <c r="F295" s="8"/>
      <c r="G295" s="8"/>
      <c r="H295" s="8"/>
      <c r="I295" s="50" t="str">
        <f>IF(Bozza!$A$70 = "Discorso", "X", "")</f>
        <v/>
      </c>
      <c r="J295" s="8"/>
      <c r="K295" s="8"/>
      <c r="L295" s="9"/>
      <c r="M295" s="50" t="str">
        <f>IF(Bozza!$A$70 = "Prima visita ulteriore", "X", "")</f>
        <v/>
      </c>
      <c r="N295" s="8"/>
      <c r="O295" s="8"/>
      <c r="P295" s="8"/>
      <c r="Q295" s="8"/>
      <c r="R295" s="8"/>
      <c r="S295" s="8"/>
      <c r="T295" s="50" t="str">
        <f>IF(Bozza!$A$70 = "Discorso", "X", "")</f>
        <v/>
      </c>
      <c r="U295" s="9"/>
    </row>
    <row r="296" spans="1:23" ht="6" customHeight="1">
      <c r="B296" s="50"/>
      <c r="C296" s="8"/>
      <c r="D296" s="8"/>
      <c r="E296" s="8"/>
      <c r="F296" s="8"/>
      <c r="G296" s="8"/>
      <c r="H296" s="8"/>
      <c r="I296" s="50"/>
      <c r="J296" s="8"/>
      <c r="K296" s="8"/>
      <c r="L296" s="9"/>
      <c r="M296" s="50"/>
      <c r="N296" s="8"/>
      <c r="O296" s="8"/>
      <c r="P296" s="8"/>
      <c r="Q296" s="8"/>
      <c r="R296" s="8"/>
      <c r="S296" s="8"/>
      <c r="T296" s="50"/>
      <c r="U296" s="9"/>
    </row>
    <row r="297" spans="1:23" ht="7.5" customHeight="1">
      <c r="B297" s="50" t="str">
        <f>IF(Bozza!$A$70 = "Seconda visita ulteriore", "X", "")</f>
        <v/>
      </c>
      <c r="C297" s="8"/>
      <c r="D297" s="8"/>
      <c r="E297" s="8"/>
      <c r="F297" s="8"/>
      <c r="G297" s="8"/>
      <c r="H297" s="8"/>
      <c r="I297" s="50"/>
      <c r="J297" s="8"/>
      <c r="K297" s="8"/>
      <c r="L297" s="9"/>
      <c r="M297" s="50" t="str">
        <f>IF(Bozza!$A$70 = "Seconda visita ulteriore", "X", "")</f>
        <v/>
      </c>
      <c r="N297" s="8"/>
      <c r="O297" s="8"/>
      <c r="P297" s="8"/>
      <c r="Q297" s="8"/>
      <c r="R297" s="8"/>
      <c r="S297" s="8"/>
      <c r="T297" s="50"/>
      <c r="U297" s="9"/>
    </row>
    <row r="298" spans="1:23" ht="23" customHeight="1">
      <c r="C298" s="8"/>
      <c r="D298" s="8"/>
      <c r="E298" s="8"/>
      <c r="F298" s="8"/>
      <c r="G298" s="8"/>
      <c r="H298" s="8"/>
      <c r="J298" s="8"/>
      <c r="K298" s="8"/>
      <c r="L298" s="9"/>
      <c r="N298" s="9"/>
      <c r="O298" s="9"/>
      <c r="P298" s="9"/>
      <c r="Q298" s="9"/>
      <c r="R298" s="9"/>
      <c r="S298" s="9"/>
      <c r="U298" s="9"/>
    </row>
    <row r="299" spans="1:23" ht="6.75" customHeight="1">
      <c r="A299" s="52"/>
      <c r="B299" s="55" t="s">
        <v>16</v>
      </c>
      <c r="C299" s="52"/>
      <c r="D299" s="52"/>
      <c r="E299" s="161"/>
      <c r="F299" s="161"/>
      <c r="G299" s="161"/>
      <c r="H299" s="161"/>
      <c r="I299" s="55"/>
      <c r="J299" s="52"/>
      <c r="K299" s="52"/>
      <c r="L299" s="53"/>
      <c r="M299" s="55"/>
      <c r="N299" s="53"/>
      <c r="O299" s="53"/>
      <c r="P299" s="162"/>
      <c r="Q299" s="162"/>
      <c r="R299" s="162"/>
      <c r="S299" s="162"/>
      <c r="T299" s="55"/>
      <c r="U299" s="53"/>
      <c r="V299" s="52"/>
      <c r="W299" s="52"/>
    </row>
    <row r="300" spans="1:23" s="8" customFormat="1" ht="6.75" customHeight="1">
      <c r="A300" s="52"/>
      <c r="B300" s="55"/>
      <c r="C300" s="52"/>
      <c r="D300" s="52"/>
      <c r="E300" s="52"/>
      <c r="F300" s="52"/>
      <c r="G300" s="52"/>
      <c r="H300" s="52"/>
      <c r="I300" s="55"/>
      <c r="J300" s="52"/>
      <c r="K300" s="52"/>
      <c r="L300" s="53"/>
      <c r="M300" s="55"/>
      <c r="N300" s="53"/>
      <c r="O300" s="53"/>
      <c r="P300" s="53"/>
      <c r="Q300" s="53"/>
      <c r="R300" s="53"/>
      <c r="S300" s="53"/>
      <c r="T300" s="55"/>
      <c r="U300" s="53"/>
      <c r="V300" s="52"/>
      <c r="W300" s="52"/>
    </row>
    <row r="301" spans="1:23" s="8" customFormat="1" ht="8" customHeight="1">
      <c r="A301" s="52"/>
      <c r="B301" s="55"/>
      <c r="C301" s="52"/>
      <c r="D301" s="52"/>
      <c r="E301" s="52"/>
      <c r="F301" s="52"/>
      <c r="G301" s="52"/>
      <c r="H301" s="52"/>
      <c r="I301" s="55"/>
      <c r="J301" s="52"/>
      <c r="K301" s="52"/>
      <c r="L301" s="53"/>
      <c r="M301" s="55" t="s">
        <v>16</v>
      </c>
      <c r="N301" s="53"/>
      <c r="O301" s="53"/>
      <c r="P301" s="53"/>
      <c r="Q301" s="53"/>
      <c r="R301" s="53"/>
      <c r="S301" s="53"/>
      <c r="T301" s="55"/>
      <c r="U301" s="53"/>
      <c r="V301" s="52"/>
      <c r="W301" s="52"/>
    </row>
    <row r="302" spans="1:23" s="8" customFormat="1" ht="6.75" customHeight="1">
      <c r="B302" s="54"/>
      <c r="E302" s="45"/>
      <c r="F302" s="45"/>
      <c r="G302" s="45"/>
      <c r="H302" s="45"/>
      <c r="I302" s="54"/>
      <c r="L302" s="46"/>
      <c r="M302" s="54"/>
      <c r="N302" s="46"/>
      <c r="O302" s="46"/>
      <c r="P302" s="46"/>
      <c r="Q302" s="46"/>
      <c r="R302" s="46"/>
      <c r="S302" s="46"/>
      <c r="T302" s="54"/>
      <c r="U302" s="46"/>
    </row>
    <row r="303" spans="1:23" s="8" customFormat="1" ht="7" customHeight="1">
      <c r="B303" s="54"/>
      <c r="E303" s="45"/>
      <c r="F303" s="45"/>
      <c r="G303" s="45"/>
      <c r="H303" s="45"/>
      <c r="I303" s="54"/>
      <c r="L303" s="46"/>
      <c r="M303" s="54"/>
      <c r="N303" s="46"/>
      <c r="O303" s="46"/>
      <c r="P303" s="46"/>
      <c r="Q303" s="46"/>
      <c r="R303" s="46"/>
      <c r="S303" s="46"/>
      <c r="T303" s="54"/>
      <c r="U303" s="46"/>
    </row>
    <row r="304" spans="1:23" ht="90" customHeight="1">
      <c r="C304" s="8"/>
      <c r="D304" s="8"/>
      <c r="E304" s="8"/>
      <c r="F304" s="8"/>
      <c r="G304" s="8"/>
      <c r="H304" s="8"/>
      <c r="J304" s="8"/>
      <c r="K304" s="8"/>
      <c r="L304" s="9"/>
      <c r="N304" s="9"/>
      <c r="O304" s="9"/>
      <c r="P304" s="9"/>
      <c r="Q304" s="9"/>
      <c r="R304" s="9"/>
      <c r="S304" s="9"/>
      <c r="U304" s="9"/>
    </row>
    <row r="305" spans="2:21" ht="68.25" customHeight="1">
      <c r="C305" s="8"/>
      <c r="D305" s="8"/>
      <c r="E305" s="8"/>
      <c r="F305" s="8"/>
      <c r="G305" s="8"/>
      <c r="H305" s="8"/>
      <c r="J305" s="8"/>
      <c r="K305" s="8"/>
      <c r="L305" s="9"/>
      <c r="N305" s="9"/>
      <c r="O305" s="9"/>
      <c r="P305" s="9"/>
      <c r="Q305" s="9"/>
      <c r="R305" s="9"/>
      <c r="S305" s="9"/>
      <c r="U305" s="9"/>
    </row>
    <row r="306" spans="2:21" ht="12" customHeight="1">
      <c r="C306" s="8"/>
      <c r="D306" s="8"/>
      <c r="E306" s="8"/>
      <c r="F306" s="8"/>
      <c r="G306" s="8"/>
      <c r="H306" s="155">
        <f>Bozza!$C$72</f>
        <v>0</v>
      </c>
      <c r="I306" s="155"/>
      <c r="J306" s="155"/>
      <c r="K306" s="8"/>
      <c r="L306" s="9"/>
      <c r="N306" s="9"/>
      <c r="O306" s="9"/>
      <c r="P306" s="9"/>
      <c r="Q306" s="9"/>
      <c r="R306" s="9"/>
      <c r="S306" s="163">
        <f>Bozza!F72</f>
        <v>0</v>
      </c>
      <c r="T306" s="155"/>
      <c r="U306" s="155"/>
    </row>
    <row r="307" spans="2:21" ht="11.25" customHeight="1">
      <c r="C307" s="8"/>
      <c r="D307" s="8"/>
      <c r="E307" s="8"/>
      <c r="F307" s="8"/>
      <c r="G307" s="8"/>
      <c r="H307" s="8"/>
      <c r="J307" s="8"/>
      <c r="K307" s="8"/>
      <c r="L307" s="9"/>
      <c r="N307" s="9"/>
      <c r="O307" s="9"/>
      <c r="P307" s="9"/>
      <c r="Q307" s="9"/>
      <c r="R307" s="9"/>
      <c r="S307" s="9"/>
      <c r="U307" s="9"/>
    </row>
    <row r="308" spans="2:21" ht="17" customHeight="1">
      <c r="C308" s="8"/>
      <c r="D308" s="8"/>
      <c r="E308" s="8"/>
      <c r="F308" s="155">
        <f>Bozza!$C$73</f>
        <v>0</v>
      </c>
      <c r="G308" s="155"/>
      <c r="H308" s="155"/>
      <c r="I308" s="155"/>
      <c r="J308" s="155"/>
      <c r="K308" s="8"/>
      <c r="L308" s="9"/>
      <c r="N308" s="9"/>
      <c r="O308" s="9"/>
      <c r="P308" s="9"/>
      <c r="Q308" s="155">
        <f>Bozza!F73</f>
        <v>0</v>
      </c>
      <c r="R308" s="155"/>
      <c r="S308" s="155"/>
      <c r="T308" s="155"/>
      <c r="U308" s="155"/>
    </row>
    <row r="309" spans="2:21" ht="11.25" customHeight="1">
      <c r="C309" s="8"/>
      <c r="D309" s="8"/>
      <c r="E309" s="8"/>
      <c r="F309" s="8"/>
      <c r="G309" s="8"/>
      <c r="H309" s="8"/>
      <c r="J309" s="8"/>
      <c r="K309" s="8"/>
      <c r="L309" s="9"/>
      <c r="N309" s="9"/>
      <c r="O309" s="9"/>
      <c r="P309" s="9"/>
      <c r="Q309" s="9"/>
      <c r="R309" s="9"/>
      <c r="S309" s="9"/>
      <c r="U309" s="9"/>
    </row>
    <row r="310" spans="2:21" ht="16" customHeight="1">
      <c r="C310" s="8"/>
      <c r="D310" s="157">
        <f>D287</f>
        <v>21</v>
      </c>
      <c r="E310" s="156"/>
      <c r="F310" s="156"/>
      <c r="G310" s="156"/>
      <c r="H310" s="156"/>
      <c r="I310" s="156"/>
      <c r="J310" s="156"/>
      <c r="K310" s="8"/>
      <c r="L310" s="9"/>
      <c r="N310" s="9"/>
      <c r="O310" s="157">
        <f>D310</f>
        <v>21</v>
      </c>
      <c r="P310" s="156"/>
      <c r="Q310" s="156"/>
      <c r="R310" s="156"/>
      <c r="S310" s="156"/>
      <c r="T310" s="156"/>
      <c r="U310" s="156"/>
    </row>
    <row r="311" spans="2:21" ht="13.5" customHeight="1">
      <c r="C311" s="8"/>
      <c r="D311" s="8"/>
      <c r="E311" s="8"/>
      <c r="F311" s="8"/>
      <c r="G311" s="8"/>
      <c r="H311" s="8"/>
      <c r="J311" s="8"/>
      <c r="K311" s="8"/>
      <c r="L311" s="9"/>
      <c r="N311" s="9"/>
      <c r="O311" s="9"/>
      <c r="P311" s="9"/>
      <c r="Q311" s="9"/>
      <c r="R311" s="9"/>
      <c r="S311" s="9"/>
      <c r="U311" s="9"/>
    </row>
    <row r="312" spans="2:21" ht="15" customHeight="1">
      <c r="C312" s="8"/>
      <c r="D312" s="8"/>
      <c r="E312" s="8"/>
      <c r="F312" s="8"/>
      <c r="G312" s="156">
        <f>Bozza!$E$72</f>
        <v>0</v>
      </c>
      <c r="H312" s="156"/>
      <c r="I312" s="156"/>
      <c r="J312" s="156"/>
      <c r="K312" s="8"/>
      <c r="L312" s="9"/>
      <c r="N312" s="9"/>
      <c r="O312" s="9"/>
      <c r="P312" s="9"/>
      <c r="Q312" s="9"/>
      <c r="R312" s="156">
        <f>Bozza!H72</f>
        <v>0</v>
      </c>
      <c r="S312" s="156"/>
      <c r="T312" s="156"/>
      <c r="U312" s="156"/>
    </row>
    <row r="313" spans="2:21" ht="34" customHeight="1">
      <c r="C313" s="8"/>
      <c r="D313" s="8"/>
      <c r="E313" s="8"/>
      <c r="F313" s="8"/>
      <c r="G313" s="8"/>
      <c r="H313" s="8"/>
      <c r="J313" s="8"/>
      <c r="K313" s="8"/>
      <c r="L313" s="9"/>
      <c r="N313" s="9"/>
      <c r="O313" s="9"/>
      <c r="P313" s="9"/>
      <c r="Q313" s="9"/>
      <c r="R313" s="9"/>
      <c r="S313" s="9"/>
      <c r="U313" s="9"/>
    </row>
    <row r="314" spans="2:21" ht="6" customHeight="1">
      <c r="B314" s="50" t="str">
        <f>IF(Bozza!$A$72 = "Lettura biblica", "X", "")</f>
        <v/>
      </c>
      <c r="C314" s="8"/>
      <c r="D314" s="8"/>
      <c r="E314" s="8"/>
      <c r="F314" s="8"/>
      <c r="G314" s="8"/>
      <c r="H314" s="8"/>
      <c r="I314" s="50" t="str">
        <f>IF(Bozza!$A$72 = "Terza visita ulteriore", "X", "")</f>
        <v/>
      </c>
      <c r="J314" s="8"/>
      <c r="K314" s="8"/>
      <c r="L314" s="9"/>
      <c r="M314" s="50" t="str">
        <f>IF(Bozza!$A$72 = "Lettura biblica", "X", "")</f>
        <v/>
      </c>
      <c r="N314" s="8"/>
      <c r="O314" s="8"/>
      <c r="P314" s="8"/>
      <c r="Q314" s="8"/>
      <c r="R314" s="8"/>
      <c r="S314" s="8"/>
      <c r="T314" s="50" t="str">
        <f>IF(Bozza!$A$72 = "Terza visita ulteriore", "X", "")</f>
        <v/>
      </c>
      <c r="U314" s="9"/>
    </row>
    <row r="315" spans="2:21" ht="6.75" customHeight="1">
      <c r="B315" s="50"/>
      <c r="C315" s="8"/>
      <c r="D315" s="8"/>
      <c r="E315" s="8"/>
      <c r="F315" s="8"/>
      <c r="G315" s="8"/>
      <c r="H315" s="8"/>
      <c r="I315" s="50"/>
      <c r="J315" s="8"/>
      <c r="K315" s="8"/>
      <c r="L315" s="9"/>
      <c r="M315" s="50"/>
      <c r="N315" s="8"/>
      <c r="O315" s="8"/>
      <c r="P315" s="8"/>
      <c r="Q315" s="8"/>
      <c r="R315" s="8"/>
      <c r="S315" s="8"/>
      <c r="T315" s="50"/>
      <c r="U315" s="9"/>
    </row>
    <row r="316" spans="2:21" ht="7" customHeight="1">
      <c r="B316" s="50" t="str">
        <f>IF(Bozza!$A$72 = "Primo contatto", "X", "")</f>
        <v/>
      </c>
      <c r="C316" s="8"/>
      <c r="D316" s="8"/>
      <c r="E316" s="8"/>
      <c r="F316" s="8"/>
      <c r="G316" s="8"/>
      <c r="H316" s="8"/>
      <c r="I316" s="50" t="str">
        <f>IF(Bozza!$A$72 = "Studio biblico", "X", "")</f>
        <v/>
      </c>
      <c r="J316" s="8"/>
      <c r="K316" s="8"/>
      <c r="L316" s="9"/>
      <c r="M316" s="50" t="str">
        <f>IF(Bozza!$A$72 = "Primo contatto", "X", "")</f>
        <v/>
      </c>
      <c r="N316" s="8"/>
      <c r="O316" s="8"/>
      <c r="P316" s="8"/>
      <c r="Q316" s="8"/>
      <c r="R316" s="8"/>
      <c r="S316" s="8"/>
      <c r="T316" s="50" t="str">
        <f>IF(Bozza!$A$72 = "Studio biblico", "X", "")</f>
        <v/>
      </c>
      <c r="U316" s="9"/>
    </row>
    <row r="317" spans="2:21" ht="7.5" customHeight="1">
      <c r="B317" s="50"/>
      <c r="C317" s="8"/>
      <c r="D317" s="8"/>
      <c r="E317" s="8"/>
      <c r="F317" s="8"/>
      <c r="G317" s="8"/>
      <c r="H317" s="8"/>
      <c r="I317" s="50"/>
      <c r="J317" s="8"/>
      <c r="K317" s="8"/>
      <c r="L317" s="9"/>
      <c r="M317" s="50"/>
      <c r="N317" s="8"/>
      <c r="O317" s="8"/>
      <c r="P317" s="8"/>
      <c r="Q317" s="8"/>
      <c r="R317" s="8"/>
      <c r="S317" s="8"/>
      <c r="T317" s="50"/>
      <c r="U317" s="9"/>
    </row>
    <row r="318" spans="2:21" ht="6" customHeight="1">
      <c r="B318" s="50" t="str">
        <f>IF(Bozza!$A$72 = "Prima visita ulteriore", "X", "")</f>
        <v/>
      </c>
      <c r="C318" s="8"/>
      <c r="D318" s="8"/>
      <c r="E318" s="8"/>
      <c r="F318" s="8"/>
      <c r="G318" s="8"/>
      <c r="H318" s="8"/>
      <c r="I318" s="50" t="str">
        <f>IF(Bozza!$A$72 = "Discorso", "X", "")</f>
        <v/>
      </c>
      <c r="J318" s="8"/>
      <c r="K318" s="8"/>
      <c r="L318" s="9"/>
      <c r="M318" s="50" t="str">
        <f>IF(Bozza!$A$72 = "Prima visita ulteriore", "X", "")</f>
        <v/>
      </c>
      <c r="N318" s="8"/>
      <c r="O318" s="8"/>
      <c r="P318" s="8"/>
      <c r="Q318" s="8"/>
      <c r="R318" s="8"/>
      <c r="S318" s="8"/>
      <c r="T318" s="50" t="str">
        <f>IF(Bozza!$A$72 = "Discorso", "X", "")</f>
        <v/>
      </c>
      <c r="U318" s="9"/>
    </row>
    <row r="319" spans="2:21" ht="6" customHeight="1">
      <c r="B319" s="50"/>
      <c r="C319" s="8"/>
      <c r="D319" s="8"/>
      <c r="E319" s="8"/>
      <c r="F319" s="8"/>
      <c r="G319" s="8"/>
      <c r="H319" s="8"/>
      <c r="I319" s="50"/>
      <c r="J319" s="8"/>
      <c r="K319" s="8"/>
      <c r="L319" s="9"/>
      <c r="M319" s="50"/>
      <c r="N319" s="8"/>
      <c r="O319" s="8"/>
      <c r="P319" s="8"/>
      <c r="Q319" s="8"/>
      <c r="R319" s="8"/>
      <c r="S319" s="8"/>
      <c r="T319" s="50"/>
      <c r="U319" s="9"/>
    </row>
    <row r="320" spans="2:21" ht="7.5" customHeight="1">
      <c r="B320" s="50" t="str">
        <f>IF(Bozza!$A$72 = "Seconda visita ulteriore", "X", "")</f>
        <v/>
      </c>
      <c r="C320" s="8"/>
      <c r="D320" s="8"/>
      <c r="E320" s="8"/>
      <c r="F320" s="8"/>
      <c r="G320" s="8"/>
      <c r="H320" s="8"/>
      <c r="I320" s="50"/>
      <c r="J320" s="8"/>
      <c r="K320" s="8"/>
      <c r="L320" s="9"/>
      <c r="M320" s="50" t="str">
        <f>IF(Bozza!$A$72 = "Seconda visita ulteriore", "X", "")</f>
        <v/>
      </c>
      <c r="N320" s="8"/>
      <c r="O320" s="8"/>
      <c r="P320" s="8"/>
      <c r="Q320" s="8"/>
      <c r="R320" s="8"/>
      <c r="S320" s="8"/>
      <c r="T320" s="50"/>
      <c r="U320" s="9"/>
    </row>
    <row r="321" spans="1:23" ht="24" customHeight="1">
      <c r="C321" s="8"/>
      <c r="D321" s="8"/>
      <c r="E321" s="8"/>
      <c r="F321" s="8"/>
      <c r="G321" s="8"/>
      <c r="H321" s="8"/>
      <c r="J321" s="8"/>
      <c r="K321" s="8"/>
      <c r="L321" s="9"/>
      <c r="N321" s="9"/>
      <c r="O321" s="9"/>
      <c r="P321" s="9"/>
      <c r="Q321" s="9"/>
      <c r="R321" s="9"/>
      <c r="S321" s="9"/>
      <c r="U321" s="9"/>
    </row>
    <row r="322" spans="1:23" ht="6.75" customHeight="1">
      <c r="A322" s="52"/>
      <c r="B322" s="55" t="s">
        <v>16</v>
      </c>
      <c r="C322" s="52"/>
      <c r="D322" s="52"/>
      <c r="E322" s="161"/>
      <c r="F322" s="161"/>
      <c r="G322" s="161"/>
      <c r="H322" s="161"/>
      <c r="I322" s="55"/>
      <c r="J322" s="52"/>
      <c r="K322" s="52"/>
      <c r="L322" s="53"/>
      <c r="M322" s="55"/>
      <c r="N322" s="53"/>
      <c r="O322" s="53"/>
      <c r="P322" s="162"/>
      <c r="Q322" s="162"/>
      <c r="R322" s="162"/>
      <c r="S322" s="162"/>
      <c r="T322" s="55"/>
      <c r="U322" s="53"/>
      <c r="V322" s="52"/>
      <c r="W322" s="52"/>
    </row>
    <row r="323" spans="1:23" s="8" customFormat="1" ht="6.75" customHeight="1">
      <c r="A323" s="52"/>
      <c r="B323" s="55"/>
      <c r="C323" s="52"/>
      <c r="D323" s="52"/>
      <c r="E323" s="52"/>
      <c r="F323" s="52"/>
      <c r="G323" s="52"/>
      <c r="H323" s="52"/>
      <c r="I323" s="55"/>
      <c r="J323" s="52"/>
      <c r="K323" s="52"/>
      <c r="L323" s="53"/>
      <c r="M323" s="55"/>
      <c r="N323" s="53"/>
      <c r="O323" s="53"/>
      <c r="P323" s="53"/>
      <c r="Q323" s="53"/>
      <c r="R323" s="53"/>
      <c r="S323" s="53"/>
      <c r="T323" s="55"/>
      <c r="U323" s="53"/>
      <c r="V323" s="52"/>
      <c r="W323" s="52"/>
    </row>
    <row r="324" spans="1:23" s="8" customFormat="1" ht="8" customHeight="1">
      <c r="A324" s="52"/>
      <c r="B324" s="55"/>
      <c r="C324" s="52"/>
      <c r="D324" s="52"/>
      <c r="E324" s="52"/>
      <c r="F324" s="52"/>
      <c r="G324" s="52"/>
      <c r="H324" s="52"/>
      <c r="I324" s="55"/>
      <c r="J324" s="52"/>
      <c r="K324" s="52"/>
      <c r="L324" s="53"/>
      <c r="M324" s="55" t="s">
        <v>16</v>
      </c>
      <c r="N324" s="53"/>
      <c r="O324" s="53"/>
      <c r="P324" s="53"/>
      <c r="Q324" s="53"/>
      <c r="R324" s="53"/>
      <c r="S324" s="53"/>
      <c r="T324" s="55"/>
      <c r="U324" s="53"/>
      <c r="V324" s="52"/>
      <c r="W324" s="52"/>
    </row>
    <row r="325" spans="1:23" s="8" customFormat="1" ht="6.75" customHeight="1">
      <c r="B325" s="54"/>
      <c r="E325" s="45"/>
      <c r="F325" s="45"/>
      <c r="G325" s="45"/>
      <c r="H325" s="45"/>
      <c r="I325" s="54"/>
      <c r="L325" s="46"/>
      <c r="M325" s="54"/>
      <c r="N325" s="46"/>
      <c r="O325" s="46"/>
      <c r="P325" s="46"/>
      <c r="Q325" s="46"/>
      <c r="R325" s="46"/>
      <c r="S325" s="46"/>
      <c r="T325" s="54"/>
      <c r="U325" s="46"/>
    </row>
    <row r="326" spans="1:23" s="8" customFormat="1" ht="7" customHeight="1">
      <c r="B326" s="54"/>
      <c r="E326" s="45"/>
      <c r="F326" s="45"/>
      <c r="G326" s="45"/>
      <c r="H326" s="45"/>
      <c r="I326" s="54"/>
      <c r="L326" s="46"/>
      <c r="M326" s="54"/>
      <c r="N326" s="46"/>
      <c r="O326" s="46"/>
      <c r="P326" s="46"/>
      <c r="Q326" s="46"/>
      <c r="R326" s="46"/>
      <c r="S326" s="46"/>
      <c r="T326" s="54"/>
      <c r="U326" s="46"/>
    </row>
    <row r="327" spans="1:23" s="8" customFormat="1" ht="6.75" customHeight="1">
      <c r="B327" s="54"/>
      <c r="E327" s="45"/>
      <c r="F327" s="45"/>
      <c r="G327" s="45"/>
      <c r="H327" s="45"/>
      <c r="I327" s="54"/>
      <c r="L327" s="46"/>
      <c r="M327" s="54"/>
      <c r="N327" s="46"/>
      <c r="O327" s="46"/>
      <c r="P327" s="46"/>
      <c r="Q327" s="46"/>
      <c r="R327" s="46"/>
      <c r="S327" s="46"/>
      <c r="T327" s="54"/>
      <c r="U327" s="46"/>
    </row>
    <row r="328" spans="1:23" ht="84" customHeight="1">
      <c r="C328" s="8"/>
      <c r="D328" s="8"/>
      <c r="E328" s="8"/>
      <c r="F328" s="8"/>
      <c r="G328" s="8"/>
      <c r="H328" s="8"/>
      <c r="J328" s="8"/>
      <c r="K328" s="8"/>
      <c r="L328" s="9"/>
      <c r="N328" s="9"/>
      <c r="O328" s="9"/>
      <c r="P328" s="9"/>
      <c r="Q328" s="9"/>
      <c r="R328" s="9"/>
      <c r="S328" s="9"/>
      <c r="U328" s="9"/>
    </row>
    <row r="329" spans="1:23" ht="68.25" customHeight="1">
      <c r="C329" s="8"/>
      <c r="D329" s="8"/>
      <c r="E329" s="8"/>
      <c r="F329" s="8"/>
      <c r="G329" s="8"/>
      <c r="H329" s="8"/>
      <c r="J329" s="8"/>
      <c r="K329" s="8"/>
      <c r="L329" s="9"/>
      <c r="N329" s="9"/>
      <c r="O329" s="9"/>
      <c r="P329" s="9"/>
      <c r="Q329" s="9"/>
      <c r="R329" s="9"/>
      <c r="S329" s="9"/>
      <c r="U329" s="9"/>
    </row>
    <row r="330" spans="1:23" ht="12" customHeight="1">
      <c r="C330" s="8"/>
      <c r="D330" s="8"/>
      <c r="E330" s="8"/>
      <c r="F330" s="8"/>
      <c r="G330" s="8"/>
      <c r="H330" s="155">
        <f>Bozza!$C$74</f>
        <v>0</v>
      </c>
      <c r="I330" s="155"/>
      <c r="J330" s="155"/>
      <c r="K330" s="8"/>
      <c r="L330" s="9"/>
      <c r="N330" s="9"/>
      <c r="O330" s="9"/>
      <c r="P330" s="9"/>
      <c r="Q330" s="9"/>
      <c r="R330" s="9"/>
      <c r="S330" s="163">
        <f>Bozza!F74</f>
        <v>0</v>
      </c>
      <c r="T330" s="155"/>
      <c r="U330" s="155"/>
    </row>
    <row r="331" spans="1:23" ht="11.25" customHeight="1">
      <c r="C331" s="8"/>
      <c r="D331" s="8"/>
      <c r="E331" s="8"/>
      <c r="F331" s="8"/>
      <c r="G331" s="8"/>
      <c r="H331" s="8"/>
      <c r="J331" s="8"/>
      <c r="K331" s="8"/>
      <c r="L331" s="9"/>
      <c r="N331" s="9"/>
      <c r="O331" s="9"/>
      <c r="P331" s="9"/>
      <c r="Q331" s="9"/>
      <c r="R331" s="9"/>
      <c r="S331" s="9"/>
      <c r="U331" s="9"/>
    </row>
    <row r="332" spans="1:23" ht="17" customHeight="1">
      <c r="C332" s="8"/>
      <c r="D332" s="8"/>
      <c r="E332" s="8"/>
      <c r="F332" s="155">
        <f>Bozza!$C$75</f>
        <v>0</v>
      </c>
      <c r="G332" s="155"/>
      <c r="H332" s="155"/>
      <c r="I332" s="155"/>
      <c r="J332" s="155"/>
      <c r="K332" s="8"/>
      <c r="L332" s="9"/>
      <c r="N332" s="9"/>
      <c r="O332" s="9"/>
      <c r="P332" s="9"/>
      <c r="Q332" s="155">
        <f>Bozza!F75</f>
        <v>0</v>
      </c>
      <c r="R332" s="155"/>
      <c r="S332" s="155"/>
      <c r="T332" s="155"/>
      <c r="U332" s="155"/>
    </row>
    <row r="333" spans="1:23" ht="11.25" customHeight="1">
      <c r="C333" s="8"/>
      <c r="D333" s="8"/>
      <c r="E333" s="8"/>
      <c r="F333" s="8"/>
      <c r="G333" s="8"/>
      <c r="H333" s="8"/>
      <c r="J333" s="8"/>
      <c r="K333" s="8"/>
      <c r="L333" s="9"/>
      <c r="N333" s="9"/>
      <c r="O333" s="9"/>
      <c r="P333" s="9"/>
      <c r="Q333" s="9"/>
      <c r="R333" s="9"/>
      <c r="S333" s="9"/>
      <c r="U333" s="9"/>
    </row>
    <row r="334" spans="1:23" ht="16" customHeight="1">
      <c r="C334" s="8"/>
      <c r="D334" s="157">
        <f>D310</f>
        <v>21</v>
      </c>
      <c r="E334" s="156"/>
      <c r="F334" s="156"/>
      <c r="G334" s="156"/>
      <c r="H334" s="156"/>
      <c r="I334" s="156"/>
      <c r="J334" s="156"/>
      <c r="K334" s="8"/>
      <c r="L334" s="9"/>
      <c r="N334" s="9"/>
      <c r="O334" s="157">
        <f>D334</f>
        <v>21</v>
      </c>
      <c r="P334" s="156"/>
      <c r="Q334" s="156"/>
      <c r="R334" s="156"/>
      <c r="S334" s="156"/>
      <c r="T334" s="156"/>
      <c r="U334" s="156"/>
    </row>
    <row r="335" spans="1:23" ht="13.5" customHeight="1">
      <c r="C335" s="8"/>
      <c r="D335" s="8"/>
      <c r="E335" s="8"/>
      <c r="F335" s="8"/>
      <c r="G335" s="8"/>
      <c r="H335" s="8"/>
      <c r="J335" s="8"/>
      <c r="K335" s="8"/>
      <c r="L335" s="9"/>
      <c r="N335" s="9"/>
      <c r="O335" s="9"/>
      <c r="P335" s="9"/>
      <c r="Q335" s="9"/>
      <c r="R335" s="9"/>
      <c r="S335" s="9"/>
      <c r="U335" s="9"/>
    </row>
    <row r="336" spans="1:23" ht="14" customHeight="1">
      <c r="C336" s="8"/>
      <c r="D336" s="8"/>
      <c r="E336" s="8"/>
      <c r="F336" s="8"/>
      <c r="G336" s="156">
        <f>Bozza!$E$74</f>
        <v>0</v>
      </c>
      <c r="H336" s="156"/>
      <c r="I336" s="156"/>
      <c r="J336" s="156"/>
      <c r="K336" s="8"/>
      <c r="L336" s="9"/>
      <c r="N336" s="9"/>
      <c r="O336" s="9"/>
      <c r="P336" s="9"/>
      <c r="Q336" s="9"/>
      <c r="R336" s="156">
        <f>Bozza!H74</f>
        <v>0</v>
      </c>
      <c r="S336" s="156"/>
      <c r="T336" s="156"/>
      <c r="U336" s="156"/>
    </row>
    <row r="337" spans="1:23" ht="35" customHeight="1">
      <c r="C337" s="8"/>
      <c r="D337" s="8"/>
      <c r="E337" s="8"/>
      <c r="F337" s="8"/>
      <c r="G337" s="8"/>
      <c r="H337" s="8"/>
      <c r="J337" s="8"/>
      <c r="K337" s="8"/>
      <c r="L337" s="9"/>
      <c r="N337" s="9"/>
      <c r="O337" s="9"/>
      <c r="P337" s="9"/>
      <c r="Q337" s="9"/>
      <c r="R337" s="9"/>
      <c r="S337" s="9"/>
      <c r="U337" s="9"/>
    </row>
    <row r="338" spans="1:23" ht="7" customHeight="1">
      <c r="B338" s="50" t="str">
        <f>IF(Bozza!$A$74 = "Lettura biblica", "X", "")</f>
        <v/>
      </c>
      <c r="C338" s="8"/>
      <c r="D338" s="8"/>
      <c r="E338" s="8"/>
      <c r="F338" s="8"/>
      <c r="G338" s="8"/>
      <c r="H338" s="8"/>
      <c r="I338" s="50" t="str">
        <f>IF(Bozza!$A$74 = "Terza visita ulteriore", "X", "")</f>
        <v/>
      </c>
      <c r="J338" s="8"/>
      <c r="K338" s="8"/>
      <c r="L338" s="9"/>
      <c r="M338" s="50" t="str">
        <f>IF(Bozza!$A$74 = "Lettura biblica", "X", "")</f>
        <v/>
      </c>
      <c r="N338" s="8"/>
      <c r="O338" s="8"/>
      <c r="P338" s="8"/>
      <c r="Q338" s="8"/>
      <c r="R338" s="8"/>
      <c r="S338" s="8"/>
      <c r="T338" s="50" t="str">
        <f>IF(Bozza!$A$74 = "Terza visita ulteriore", "X", "")</f>
        <v/>
      </c>
      <c r="U338" s="9"/>
    </row>
    <row r="339" spans="1:23" ht="6.75" customHeight="1">
      <c r="B339" s="50"/>
      <c r="C339" s="8"/>
      <c r="D339" s="8"/>
      <c r="E339" s="8"/>
      <c r="F339" s="8"/>
      <c r="G339" s="8"/>
      <c r="H339" s="8"/>
      <c r="I339" s="50"/>
      <c r="J339" s="8"/>
      <c r="K339" s="8"/>
      <c r="L339" s="9"/>
      <c r="M339" s="50"/>
      <c r="N339" s="8"/>
      <c r="O339" s="8"/>
      <c r="P339" s="8"/>
      <c r="Q339" s="8"/>
      <c r="R339" s="8"/>
      <c r="S339" s="8"/>
      <c r="T339" s="50"/>
      <c r="U339" s="9"/>
    </row>
    <row r="340" spans="1:23" ht="6" customHeight="1">
      <c r="B340" s="50" t="str">
        <f>IF(Bozza!$A$74 = "Primo contatto", "X", "")</f>
        <v/>
      </c>
      <c r="C340" s="8"/>
      <c r="D340" s="8"/>
      <c r="E340" s="8"/>
      <c r="F340" s="8"/>
      <c r="G340" s="8"/>
      <c r="H340" s="8"/>
      <c r="I340" s="50" t="str">
        <f>IF(Bozza!$A$74 = "Studio biblico", "X", "")</f>
        <v/>
      </c>
      <c r="J340" s="8"/>
      <c r="K340" s="8"/>
      <c r="L340" s="9"/>
      <c r="M340" s="50" t="str">
        <f>IF(Bozza!$A$74 = "Primo contatto", "X", "")</f>
        <v/>
      </c>
      <c r="N340" s="8"/>
      <c r="O340" s="8"/>
      <c r="P340" s="8"/>
      <c r="Q340" s="8"/>
      <c r="R340" s="8"/>
      <c r="S340" s="8"/>
      <c r="T340" s="50" t="str">
        <f>IF(Bozza!$A$74 = "Studio biblico", "X", "")</f>
        <v/>
      </c>
      <c r="U340" s="9"/>
    </row>
    <row r="341" spans="1:23" ht="7.5" customHeight="1">
      <c r="B341" s="50"/>
      <c r="C341" s="8"/>
      <c r="D341" s="8"/>
      <c r="E341" s="8"/>
      <c r="F341" s="8"/>
      <c r="G341" s="8"/>
      <c r="H341" s="8"/>
      <c r="I341" s="50"/>
      <c r="J341" s="8"/>
      <c r="K341" s="8"/>
      <c r="L341" s="9"/>
      <c r="M341" s="50"/>
      <c r="N341" s="8"/>
      <c r="O341" s="8"/>
      <c r="P341" s="8"/>
      <c r="Q341" s="8"/>
      <c r="R341" s="8"/>
      <c r="S341" s="8"/>
      <c r="T341" s="50"/>
      <c r="U341" s="9"/>
    </row>
    <row r="342" spans="1:23" ht="6" customHeight="1">
      <c r="B342" s="50" t="str">
        <f>IF(Bozza!$A$74 = "Prima visita ulteriore", "X", "")</f>
        <v/>
      </c>
      <c r="C342" s="8"/>
      <c r="D342" s="8"/>
      <c r="E342" s="8"/>
      <c r="F342" s="8"/>
      <c r="G342" s="8"/>
      <c r="H342" s="8"/>
      <c r="I342" s="50" t="str">
        <f>IF(Bozza!$A$74 = "Discorso", "X", "")</f>
        <v/>
      </c>
      <c r="J342" s="8"/>
      <c r="K342" s="8"/>
      <c r="L342" s="9"/>
      <c r="M342" s="50" t="str">
        <f>IF(Bozza!$A$74 = "Prima visita ulteriore", "X", "")</f>
        <v/>
      </c>
      <c r="N342" s="8"/>
      <c r="O342" s="8"/>
      <c r="P342" s="8"/>
      <c r="Q342" s="8"/>
      <c r="R342" s="8"/>
      <c r="S342" s="8"/>
      <c r="T342" s="50" t="str">
        <f>IF(Bozza!$A$74 = "Discorso", "X", "")</f>
        <v/>
      </c>
      <c r="U342" s="9"/>
    </row>
    <row r="343" spans="1:23" ht="6" customHeight="1">
      <c r="B343" s="50"/>
      <c r="C343" s="8"/>
      <c r="D343" s="8"/>
      <c r="E343" s="8"/>
      <c r="F343" s="8"/>
      <c r="G343" s="8"/>
      <c r="H343" s="8"/>
      <c r="I343" s="50"/>
      <c r="J343" s="8"/>
      <c r="K343" s="8"/>
      <c r="L343" s="9"/>
      <c r="M343" s="50"/>
      <c r="N343" s="8"/>
      <c r="O343" s="8"/>
      <c r="P343" s="8"/>
      <c r="Q343" s="8"/>
      <c r="R343" s="8"/>
      <c r="S343" s="8"/>
      <c r="T343" s="50"/>
      <c r="U343" s="9"/>
    </row>
    <row r="344" spans="1:23" ht="7.5" customHeight="1">
      <c r="B344" s="50" t="str">
        <f>IF(Bozza!$A$74 = "Seconda visita ulteriore", "X", "")</f>
        <v/>
      </c>
      <c r="C344" s="8"/>
      <c r="D344" s="8"/>
      <c r="E344" s="8"/>
      <c r="F344" s="8"/>
      <c r="G344" s="8"/>
      <c r="H344" s="8"/>
      <c r="I344" s="50"/>
      <c r="J344" s="8"/>
      <c r="K344" s="8"/>
      <c r="L344" s="9"/>
      <c r="M344" s="50" t="str">
        <f>IF(Bozza!$A$74 = "Seconda visita ulteriore", "X", "")</f>
        <v/>
      </c>
      <c r="N344" s="8"/>
      <c r="O344" s="8"/>
      <c r="P344" s="8"/>
      <c r="Q344" s="8"/>
      <c r="R344" s="8"/>
      <c r="S344" s="8"/>
      <c r="T344" s="50"/>
      <c r="U344" s="9"/>
    </row>
    <row r="345" spans="1:23" ht="24" customHeight="1">
      <c r="C345" s="8"/>
      <c r="D345" s="8"/>
      <c r="E345" s="8"/>
      <c r="F345" s="8"/>
      <c r="G345" s="8"/>
      <c r="H345" s="8"/>
      <c r="J345" s="8"/>
      <c r="K345" s="8"/>
      <c r="L345" s="9"/>
      <c r="N345" s="9"/>
      <c r="O345" s="9"/>
      <c r="P345" s="9"/>
      <c r="Q345" s="9"/>
      <c r="R345" s="9"/>
      <c r="S345" s="9"/>
      <c r="U345" s="9"/>
    </row>
    <row r="346" spans="1:23" ht="8" customHeight="1">
      <c r="A346" s="52"/>
      <c r="B346" s="55" t="s">
        <v>16</v>
      </c>
      <c r="C346" s="52"/>
      <c r="D346" s="52"/>
      <c r="E346" s="161"/>
      <c r="F346" s="161"/>
      <c r="G346" s="161"/>
      <c r="H346" s="161"/>
      <c r="I346" s="55"/>
      <c r="J346" s="52"/>
      <c r="K346" s="52"/>
      <c r="L346" s="53"/>
      <c r="M346" s="55"/>
      <c r="N346" s="53"/>
      <c r="O346" s="53"/>
      <c r="P346" s="162"/>
      <c r="Q346" s="162"/>
      <c r="R346" s="162"/>
      <c r="S346" s="162"/>
      <c r="T346" s="55"/>
      <c r="U346" s="53"/>
      <c r="V346" s="52"/>
      <c r="W346" s="52"/>
    </row>
    <row r="347" spans="1:23" s="8" customFormat="1" ht="6.75" customHeight="1">
      <c r="A347" s="52"/>
      <c r="B347" s="55"/>
      <c r="C347" s="52"/>
      <c r="D347" s="52"/>
      <c r="E347" s="52"/>
      <c r="F347" s="52"/>
      <c r="G347" s="52"/>
      <c r="H347" s="52"/>
      <c r="I347" s="55"/>
      <c r="J347" s="52"/>
      <c r="K347" s="52"/>
      <c r="L347" s="53"/>
      <c r="M347" s="55"/>
      <c r="N347" s="53"/>
      <c r="O347" s="53"/>
      <c r="P347" s="53"/>
      <c r="Q347" s="53"/>
      <c r="R347" s="53"/>
      <c r="S347" s="53"/>
      <c r="T347" s="55"/>
      <c r="U347" s="53"/>
      <c r="V347" s="52"/>
      <c r="W347" s="52"/>
    </row>
    <row r="348" spans="1:23" s="8" customFormat="1" ht="6.75" customHeight="1">
      <c r="A348" s="52"/>
      <c r="B348" s="55"/>
      <c r="C348" s="52"/>
      <c r="D348" s="52"/>
      <c r="E348" s="52"/>
      <c r="F348" s="52"/>
      <c r="G348" s="52"/>
      <c r="H348" s="52"/>
      <c r="I348" s="55"/>
      <c r="J348" s="52"/>
      <c r="K348" s="52"/>
      <c r="L348" s="53"/>
      <c r="M348" s="55" t="s">
        <v>16</v>
      </c>
      <c r="N348" s="53"/>
      <c r="O348" s="53"/>
      <c r="P348" s="53"/>
      <c r="Q348" s="53"/>
      <c r="R348" s="53"/>
      <c r="S348" s="53"/>
      <c r="T348" s="55"/>
      <c r="U348" s="53"/>
      <c r="V348" s="52"/>
      <c r="W348" s="52"/>
    </row>
    <row r="349" spans="1:23" s="8" customFormat="1" ht="6.75" customHeight="1">
      <c r="B349" s="54"/>
      <c r="E349" s="45"/>
      <c r="F349" s="45"/>
      <c r="G349" s="45"/>
      <c r="H349" s="45"/>
      <c r="I349" s="54"/>
      <c r="L349" s="46"/>
      <c r="M349" s="54"/>
      <c r="N349" s="46"/>
      <c r="O349" s="46"/>
      <c r="P349" s="46"/>
      <c r="Q349" s="46"/>
      <c r="R349" s="46"/>
      <c r="S349" s="46"/>
      <c r="T349" s="54"/>
      <c r="U349" s="46"/>
    </row>
    <row r="350" spans="1:23" s="8" customFormat="1" ht="7" customHeight="1">
      <c r="B350" s="54"/>
      <c r="E350" s="45"/>
      <c r="F350" s="45"/>
      <c r="G350" s="45"/>
      <c r="H350" s="45"/>
      <c r="I350" s="54"/>
      <c r="L350" s="46"/>
      <c r="M350" s="54"/>
      <c r="N350" s="46"/>
      <c r="O350" s="46"/>
      <c r="P350" s="46"/>
      <c r="Q350" s="46"/>
      <c r="R350" s="46"/>
      <c r="S350" s="46"/>
      <c r="T350" s="54"/>
      <c r="U350" s="46"/>
    </row>
    <row r="351" spans="1:23" s="8" customFormat="1" ht="8" customHeight="1">
      <c r="B351" s="54"/>
      <c r="E351" s="45"/>
      <c r="F351" s="45"/>
      <c r="G351" s="45"/>
      <c r="H351" s="45"/>
      <c r="I351" s="54"/>
      <c r="L351" s="46"/>
      <c r="M351" s="54"/>
      <c r="N351" s="46"/>
      <c r="O351" s="46"/>
      <c r="P351" s="46"/>
      <c r="Q351" s="46"/>
      <c r="R351" s="46"/>
      <c r="S351" s="46"/>
      <c r="T351" s="54"/>
      <c r="U351" s="46"/>
    </row>
    <row r="352" spans="1:23" ht="84" customHeight="1">
      <c r="C352" s="8"/>
      <c r="D352" s="8"/>
      <c r="E352" s="8"/>
      <c r="F352" s="8"/>
      <c r="G352" s="8"/>
      <c r="H352" s="8"/>
      <c r="J352" s="8"/>
      <c r="K352" s="8"/>
      <c r="L352" s="9"/>
      <c r="N352" s="9"/>
      <c r="O352" s="9"/>
      <c r="P352" s="9"/>
      <c r="Q352" s="9"/>
      <c r="R352" s="9"/>
      <c r="S352" s="9"/>
      <c r="U352" s="9"/>
    </row>
    <row r="353" spans="2:21" ht="68.25" customHeight="1">
      <c r="C353" s="8"/>
      <c r="D353" s="8"/>
      <c r="E353" s="8"/>
      <c r="F353" s="8"/>
      <c r="G353" s="8"/>
      <c r="H353" s="8"/>
      <c r="J353" s="8"/>
      <c r="K353" s="8"/>
      <c r="L353" s="9"/>
      <c r="N353" s="9"/>
      <c r="O353" s="9"/>
      <c r="P353" s="9"/>
      <c r="Q353" s="9"/>
      <c r="R353" s="9"/>
      <c r="S353" s="9"/>
      <c r="U353" s="9"/>
    </row>
    <row r="354" spans="2:21" ht="12" customHeight="1">
      <c r="C354" s="8"/>
      <c r="D354" s="8"/>
      <c r="E354" s="8"/>
      <c r="F354" s="8"/>
      <c r="G354" s="8"/>
      <c r="H354" s="155">
        <f>Bozza!$C$76</f>
        <v>0</v>
      </c>
      <c r="I354" s="155"/>
      <c r="J354" s="155"/>
      <c r="K354" s="8"/>
      <c r="L354" s="9"/>
      <c r="N354" s="9"/>
      <c r="O354" s="9"/>
      <c r="P354" s="9"/>
      <c r="Q354" s="9"/>
      <c r="R354" s="9"/>
      <c r="S354" s="163">
        <f>Bozza!F76</f>
        <v>0</v>
      </c>
      <c r="T354" s="155"/>
      <c r="U354" s="155"/>
    </row>
    <row r="355" spans="2:21" ht="11.25" customHeight="1">
      <c r="C355" s="8"/>
      <c r="D355" s="8"/>
      <c r="E355" s="8"/>
      <c r="F355" s="8"/>
      <c r="G355" s="8"/>
      <c r="H355" s="8"/>
      <c r="J355" s="8"/>
      <c r="K355" s="8"/>
      <c r="L355" s="9"/>
      <c r="N355" s="9"/>
      <c r="O355" s="9"/>
      <c r="P355" s="9"/>
      <c r="Q355" s="9"/>
      <c r="R355" s="9"/>
      <c r="S355" s="9"/>
      <c r="U355" s="9"/>
    </row>
    <row r="356" spans="2:21" ht="16" customHeight="1">
      <c r="C356" s="8"/>
      <c r="D356" s="8"/>
      <c r="E356" s="8"/>
      <c r="F356" s="155">
        <f>Bozza!$C$77</f>
        <v>0</v>
      </c>
      <c r="G356" s="155"/>
      <c r="H356" s="155"/>
      <c r="I356" s="155"/>
      <c r="J356" s="155"/>
      <c r="K356" s="8"/>
      <c r="L356" s="9"/>
      <c r="N356" s="9"/>
      <c r="O356" s="9"/>
      <c r="P356" s="9"/>
      <c r="Q356" s="155">
        <f>Bozza!F77</f>
        <v>0</v>
      </c>
      <c r="R356" s="155"/>
      <c r="S356" s="155"/>
      <c r="T356" s="155"/>
      <c r="U356" s="155"/>
    </row>
    <row r="357" spans="2:21" ht="11.25" customHeight="1">
      <c r="C357" s="8"/>
      <c r="D357" s="8"/>
      <c r="E357" s="8"/>
      <c r="F357" s="8"/>
      <c r="G357" s="8"/>
      <c r="H357" s="8"/>
      <c r="J357" s="8"/>
      <c r="K357" s="8"/>
      <c r="L357" s="9"/>
      <c r="N357" s="9"/>
      <c r="O357" s="9"/>
      <c r="P357" s="9"/>
      <c r="Q357" s="9"/>
      <c r="R357" s="9"/>
      <c r="S357" s="9"/>
      <c r="U357" s="9"/>
    </row>
    <row r="358" spans="2:21" ht="17" customHeight="1">
      <c r="C358" s="8"/>
      <c r="D358" s="157">
        <f>D334</f>
        <v>21</v>
      </c>
      <c r="E358" s="156"/>
      <c r="F358" s="156"/>
      <c r="G358" s="156"/>
      <c r="H358" s="156"/>
      <c r="I358" s="156"/>
      <c r="J358" s="156"/>
      <c r="K358" s="8"/>
      <c r="L358" s="9"/>
      <c r="N358" s="9"/>
      <c r="O358" s="157">
        <f>D358</f>
        <v>21</v>
      </c>
      <c r="P358" s="156"/>
      <c r="Q358" s="156"/>
      <c r="R358" s="156"/>
      <c r="S358" s="156"/>
      <c r="T358" s="156"/>
      <c r="U358" s="156"/>
    </row>
    <row r="359" spans="2:21" ht="13.5" customHeight="1">
      <c r="C359" s="8"/>
      <c r="D359" s="8"/>
      <c r="E359" s="8"/>
      <c r="F359" s="8"/>
      <c r="G359" s="8"/>
      <c r="H359" s="8"/>
      <c r="J359" s="8"/>
      <c r="K359" s="8"/>
      <c r="L359" s="9"/>
      <c r="N359" s="9"/>
      <c r="O359" s="9"/>
      <c r="P359" s="9"/>
      <c r="Q359" s="9"/>
      <c r="R359" s="9"/>
      <c r="S359" s="9"/>
      <c r="U359" s="9"/>
    </row>
    <row r="360" spans="2:21" ht="13.5" customHeight="1">
      <c r="C360" s="8"/>
      <c r="D360" s="8"/>
      <c r="E360" s="8"/>
      <c r="F360" s="8"/>
      <c r="G360" s="160">
        <f>Bozza!$E$76</f>
        <v>0</v>
      </c>
      <c r="H360" s="156"/>
      <c r="I360" s="156"/>
      <c r="J360" s="156"/>
      <c r="K360" s="8"/>
      <c r="L360" s="9"/>
      <c r="N360" s="9"/>
      <c r="O360" s="9"/>
      <c r="P360" s="9"/>
      <c r="Q360" s="9"/>
      <c r="R360" s="160">
        <f>Bozza!H76</f>
        <v>0</v>
      </c>
      <c r="S360" s="156"/>
      <c r="T360" s="156"/>
      <c r="U360" s="156"/>
    </row>
    <row r="361" spans="2:21" ht="35" customHeight="1">
      <c r="C361" s="8"/>
      <c r="D361" s="8"/>
      <c r="E361" s="8"/>
      <c r="F361" s="8"/>
      <c r="G361" s="8"/>
      <c r="H361" s="8"/>
      <c r="J361" s="8"/>
      <c r="K361" s="8"/>
      <c r="L361" s="9"/>
      <c r="N361" s="9"/>
      <c r="O361" s="9"/>
      <c r="P361" s="9"/>
      <c r="Q361" s="9"/>
      <c r="R361" s="9"/>
      <c r="S361" s="9"/>
      <c r="U361" s="9"/>
    </row>
    <row r="362" spans="2:21" ht="6" customHeight="1">
      <c r="B362" s="50" t="str">
        <f>IF(Bozza!$A$76 = "Lettura biblica", "X", "")</f>
        <v/>
      </c>
      <c r="C362" s="8"/>
      <c r="D362" s="8"/>
      <c r="E362" s="8"/>
      <c r="F362" s="8"/>
      <c r="G362" s="8"/>
      <c r="H362" s="8"/>
      <c r="I362" s="50" t="str">
        <f>IF(Bozza!$A$76 = "Terza visita ulteriore", "X", "")</f>
        <v/>
      </c>
      <c r="J362" s="8"/>
      <c r="K362" s="8"/>
      <c r="L362" s="9"/>
      <c r="M362" s="50" t="str">
        <f>IF(Bozza!$A$76 = "Lettura biblica", "X", "")</f>
        <v/>
      </c>
      <c r="N362" s="8"/>
      <c r="O362" s="8"/>
      <c r="P362" s="8"/>
      <c r="Q362" s="8"/>
      <c r="R362" s="8"/>
      <c r="S362" s="8"/>
      <c r="T362" s="50" t="str">
        <f>IF(Bozza!$A$76 = "Terza visita ulteriore", "X", "")</f>
        <v/>
      </c>
      <c r="U362" s="9"/>
    </row>
    <row r="363" spans="2:21" ht="6.75" customHeight="1">
      <c r="B363" s="50"/>
      <c r="C363" s="8"/>
      <c r="D363" s="8"/>
      <c r="E363" s="8"/>
      <c r="F363" s="8"/>
      <c r="G363" s="8"/>
      <c r="H363" s="8"/>
      <c r="I363" s="50"/>
      <c r="J363" s="8"/>
      <c r="K363" s="8"/>
      <c r="L363" s="9"/>
      <c r="M363" s="50"/>
      <c r="N363" s="8"/>
      <c r="O363" s="8"/>
      <c r="P363" s="8"/>
      <c r="Q363" s="8"/>
      <c r="R363" s="8"/>
      <c r="S363" s="8"/>
      <c r="T363" s="50"/>
      <c r="U363" s="9"/>
    </row>
    <row r="364" spans="2:21" ht="8" customHeight="1">
      <c r="B364" s="50" t="str">
        <f>IF(Bozza!$A$76 = "Primo contatto", "X", "")</f>
        <v/>
      </c>
      <c r="C364" s="8"/>
      <c r="D364" s="8"/>
      <c r="E364" s="8"/>
      <c r="F364" s="8"/>
      <c r="G364" s="8"/>
      <c r="H364" s="8"/>
      <c r="I364" s="50" t="str">
        <f>IF(Bozza!$A$76 = "Studio biblico", "X", "")</f>
        <v/>
      </c>
      <c r="J364" s="8"/>
      <c r="K364" s="8"/>
      <c r="L364" s="9"/>
      <c r="M364" s="50" t="str">
        <f>IF(Bozza!$A$76 = "Primo contatto", "X", "")</f>
        <v/>
      </c>
      <c r="N364" s="8"/>
      <c r="O364" s="8"/>
      <c r="P364" s="8"/>
      <c r="Q364" s="8"/>
      <c r="R364" s="8"/>
      <c r="S364" s="8"/>
      <c r="T364" s="50" t="str">
        <f>IF(Bozza!$A$76 = "Studio biblico", "X", "")</f>
        <v/>
      </c>
      <c r="U364" s="9"/>
    </row>
    <row r="365" spans="2:21" ht="6.75" customHeight="1">
      <c r="B365" s="50"/>
      <c r="C365" s="8"/>
      <c r="D365" s="8"/>
      <c r="E365" s="8"/>
      <c r="F365" s="8"/>
      <c r="G365" s="8"/>
      <c r="H365" s="8"/>
      <c r="I365" s="50"/>
      <c r="J365" s="8"/>
      <c r="K365" s="8"/>
      <c r="L365" s="9"/>
      <c r="M365" s="50"/>
      <c r="N365" s="8"/>
      <c r="O365" s="8"/>
      <c r="P365" s="8"/>
      <c r="Q365" s="8"/>
      <c r="R365" s="8"/>
      <c r="S365" s="8"/>
      <c r="T365" s="50"/>
      <c r="U365" s="9"/>
    </row>
    <row r="366" spans="2:21" ht="6" customHeight="1">
      <c r="B366" s="50" t="str">
        <f>IF(Bozza!$A$76 = "Prima visita ulteriore", "X", "")</f>
        <v/>
      </c>
      <c r="C366" s="8"/>
      <c r="D366" s="8"/>
      <c r="E366" s="8"/>
      <c r="F366" s="8"/>
      <c r="G366" s="8"/>
      <c r="H366" s="8"/>
      <c r="I366" s="50" t="str">
        <f>IF(Bozza!$A$76 = "Discorso", "X", "")</f>
        <v/>
      </c>
      <c r="J366" s="8"/>
      <c r="K366" s="8"/>
      <c r="L366" s="9"/>
      <c r="M366" s="50" t="str">
        <f>IF(Bozza!$A$76 = "Prima visita ulteriore", "X", "")</f>
        <v/>
      </c>
      <c r="N366" s="8"/>
      <c r="O366" s="8"/>
      <c r="P366" s="8"/>
      <c r="Q366" s="8"/>
      <c r="R366" s="8"/>
      <c r="S366" s="8"/>
      <c r="T366" s="50" t="str">
        <f>IF(Bozza!$A$76 = "Discorso", "X", "")</f>
        <v/>
      </c>
      <c r="U366" s="9"/>
    </row>
    <row r="367" spans="2:21" ht="7.5" customHeight="1">
      <c r="B367" s="50"/>
      <c r="C367" s="8"/>
      <c r="D367" s="8"/>
      <c r="E367" s="8"/>
      <c r="F367" s="8"/>
      <c r="G367" s="8"/>
      <c r="H367" s="8"/>
      <c r="I367" s="50"/>
      <c r="J367" s="8"/>
      <c r="K367" s="8"/>
      <c r="L367" s="9"/>
      <c r="M367" s="50"/>
      <c r="N367" s="8"/>
      <c r="O367" s="8"/>
      <c r="P367" s="8"/>
      <c r="Q367" s="8"/>
      <c r="R367" s="8"/>
      <c r="S367" s="8"/>
      <c r="T367" s="50"/>
      <c r="U367" s="9"/>
    </row>
    <row r="368" spans="2:21" ht="6.75" customHeight="1">
      <c r="B368" s="50" t="str">
        <f>IF(Bozza!$A$76 = "Seconda visita ulteriore", "X", "")</f>
        <v/>
      </c>
      <c r="C368" s="8"/>
      <c r="D368" s="8"/>
      <c r="E368" s="8"/>
      <c r="F368" s="8"/>
      <c r="G368" s="8"/>
      <c r="H368" s="8"/>
      <c r="I368" s="50"/>
      <c r="J368" s="8"/>
      <c r="K368" s="8"/>
      <c r="L368" s="9"/>
      <c r="M368" s="50" t="str">
        <f>IF(Bozza!$A$76 = "Seconda visita ulteriore", "X", "")</f>
        <v/>
      </c>
      <c r="N368" s="8"/>
      <c r="O368" s="8"/>
      <c r="P368" s="8"/>
      <c r="Q368" s="8"/>
      <c r="R368" s="8"/>
      <c r="S368" s="8"/>
      <c r="T368" s="50"/>
      <c r="U368" s="9"/>
    </row>
    <row r="369" spans="1:23" ht="24" customHeight="1">
      <c r="C369" s="8"/>
      <c r="D369" s="8"/>
      <c r="E369" s="8"/>
      <c r="F369" s="8"/>
      <c r="G369" s="8"/>
      <c r="H369" s="8"/>
      <c r="J369" s="8"/>
      <c r="K369" s="8"/>
      <c r="L369" s="9"/>
      <c r="N369" s="9"/>
      <c r="O369" s="9"/>
      <c r="P369" s="9"/>
      <c r="Q369" s="9"/>
      <c r="R369" s="9"/>
      <c r="S369" s="9"/>
      <c r="U369" s="9"/>
    </row>
    <row r="370" spans="1:23" ht="6.75" customHeight="1">
      <c r="A370" s="52"/>
      <c r="B370" s="55" t="s">
        <v>16</v>
      </c>
      <c r="C370" s="52"/>
      <c r="D370" s="52"/>
      <c r="E370" s="161"/>
      <c r="F370" s="161"/>
      <c r="G370" s="161"/>
      <c r="H370" s="161"/>
      <c r="I370" s="55"/>
      <c r="J370" s="52"/>
      <c r="K370" s="52"/>
      <c r="L370" s="53"/>
      <c r="M370" s="55"/>
      <c r="N370" s="53"/>
      <c r="O370" s="53"/>
      <c r="P370" s="162"/>
      <c r="Q370" s="162"/>
      <c r="R370" s="162"/>
      <c r="S370" s="162"/>
      <c r="T370" s="55"/>
      <c r="U370" s="53"/>
      <c r="V370" s="52"/>
      <c r="W370" s="52"/>
    </row>
    <row r="371" spans="1:23" s="8" customFormat="1" ht="6.75" customHeight="1">
      <c r="A371" s="52"/>
      <c r="B371" s="55"/>
      <c r="C371" s="52"/>
      <c r="D371" s="52"/>
      <c r="E371" s="52"/>
      <c r="F371" s="52"/>
      <c r="G371" s="52"/>
      <c r="H371" s="52"/>
      <c r="I371" s="55"/>
      <c r="J371" s="52"/>
      <c r="K371" s="52"/>
      <c r="L371" s="53"/>
      <c r="M371" s="55"/>
      <c r="N371" s="53"/>
      <c r="O371" s="53"/>
      <c r="P371" s="53"/>
      <c r="Q371" s="53"/>
      <c r="R371" s="53"/>
      <c r="S371" s="53"/>
      <c r="T371" s="55"/>
      <c r="U371" s="53"/>
      <c r="V371" s="52"/>
      <c r="W371" s="52"/>
    </row>
    <row r="372" spans="1:23" s="8" customFormat="1" ht="8" customHeight="1">
      <c r="A372" s="52"/>
      <c r="B372" s="55"/>
      <c r="C372" s="52"/>
      <c r="D372" s="52"/>
      <c r="E372" s="52"/>
      <c r="F372" s="52"/>
      <c r="G372" s="52"/>
      <c r="H372" s="52"/>
      <c r="I372" s="55"/>
      <c r="J372" s="52"/>
      <c r="K372" s="52"/>
      <c r="L372" s="53"/>
      <c r="M372" s="55" t="s">
        <v>16</v>
      </c>
      <c r="N372" s="53"/>
      <c r="O372" s="53"/>
      <c r="P372" s="53"/>
      <c r="Q372" s="53"/>
      <c r="R372" s="53"/>
      <c r="S372" s="53"/>
      <c r="T372" s="55"/>
      <c r="U372" s="53"/>
      <c r="V372" s="52"/>
      <c r="W372" s="52"/>
    </row>
    <row r="373" spans="1:23" s="8" customFormat="1" ht="6.75" customHeight="1">
      <c r="B373" s="54"/>
      <c r="E373" s="45"/>
      <c r="F373" s="45"/>
      <c r="G373" s="45"/>
      <c r="H373" s="45"/>
      <c r="I373" s="54"/>
      <c r="L373" s="46"/>
      <c r="M373" s="54"/>
      <c r="N373" s="46"/>
      <c r="O373" s="46"/>
      <c r="P373" s="46"/>
      <c r="Q373" s="46"/>
      <c r="R373" s="46"/>
      <c r="S373" s="46"/>
      <c r="T373" s="54"/>
      <c r="U373" s="46"/>
    </row>
    <row r="374" spans="1:23" s="8" customFormat="1" ht="7" customHeight="1">
      <c r="B374" s="54"/>
      <c r="E374" s="45"/>
      <c r="F374" s="45"/>
      <c r="G374" s="45"/>
      <c r="H374" s="45"/>
      <c r="I374" s="54"/>
      <c r="L374" s="46"/>
      <c r="M374" s="54"/>
      <c r="N374" s="46"/>
      <c r="O374" s="46"/>
      <c r="P374" s="46"/>
      <c r="Q374" s="46"/>
      <c r="R374" s="46"/>
      <c r="S374" s="46"/>
      <c r="T374" s="54"/>
      <c r="U374" s="46"/>
    </row>
    <row r="375" spans="1:23" ht="95" customHeight="1">
      <c r="C375" s="8"/>
      <c r="D375" s="8"/>
      <c r="E375" s="8"/>
      <c r="F375" s="8"/>
      <c r="G375" s="8"/>
      <c r="H375" s="8"/>
      <c r="J375" s="8"/>
      <c r="K375" s="8"/>
      <c r="L375" s="9"/>
      <c r="N375" s="9"/>
      <c r="O375" s="9"/>
      <c r="P375" s="9"/>
      <c r="Q375" s="9"/>
      <c r="R375" s="9"/>
      <c r="S375" s="9"/>
      <c r="U375" s="9"/>
    </row>
    <row r="376" spans="1:23" ht="68.25" customHeight="1">
      <c r="C376" s="8"/>
      <c r="D376" s="8"/>
      <c r="E376" s="8"/>
      <c r="F376" s="8"/>
      <c r="G376" s="8"/>
      <c r="H376" s="8"/>
      <c r="J376" s="8"/>
      <c r="K376" s="8"/>
      <c r="L376" s="9"/>
      <c r="N376" s="9"/>
      <c r="O376" s="9"/>
      <c r="P376" s="9"/>
      <c r="Q376" s="9"/>
      <c r="R376" s="9"/>
      <c r="S376" s="9"/>
      <c r="U376" s="9"/>
    </row>
    <row r="377" spans="1:23" ht="12" customHeight="1">
      <c r="C377" s="8"/>
      <c r="D377" s="8"/>
      <c r="E377" s="8"/>
      <c r="F377" s="8"/>
      <c r="G377" s="8"/>
      <c r="H377" s="156">
        <f>Bozza!$C$91</f>
        <v>0</v>
      </c>
      <c r="I377" s="156"/>
      <c r="J377" s="156"/>
      <c r="K377" s="8"/>
      <c r="L377" s="9"/>
      <c r="N377" s="9"/>
      <c r="O377" s="9"/>
      <c r="P377" s="9"/>
      <c r="Q377" s="9"/>
      <c r="R377" s="9"/>
      <c r="S377" s="156">
        <f>Bozza!F91</f>
        <v>0</v>
      </c>
      <c r="T377" s="156"/>
      <c r="U377" s="156"/>
    </row>
    <row r="378" spans="1:23" ht="11.25" customHeight="1">
      <c r="C378" s="8"/>
      <c r="D378" s="8"/>
      <c r="E378" s="8"/>
      <c r="F378" s="8"/>
      <c r="G378" s="8"/>
      <c r="H378" s="8"/>
      <c r="J378" s="8"/>
      <c r="K378" s="8"/>
      <c r="L378" s="9"/>
      <c r="N378" s="9"/>
      <c r="O378" s="9"/>
      <c r="P378" s="9"/>
      <c r="Q378" s="9"/>
      <c r="R378" s="9"/>
      <c r="S378" s="9"/>
      <c r="U378" s="9"/>
    </row>
    <row r="379" spans="1:23" ht="16" customHeight="1">
      <c r="C379" s="8"/>
      <c r="D379" s="8"/>
      <c r="E379" s="8"/>
      <c r="F379" s="155"/>
      <c r="G379" s="155"/>
      <c r="H379" s="155"/>
      <c r="I379" s="155"/>
      <c r="J379" s="155"/>
      <c r="K379" s="8"/>
      <c r="L379" s="9"/>
      <c r="N379" s="9"/>
      <c r="O379" s="9"/>
      <c r="P379" s="9"/>
      <c r="Q379" s="156"/>
      <c r="R379" s="156"/>
      <c r="S379" s="156"/>
      <c r="T379" s="156"/>
      <c r="U379" s="156"/>
    </row>
    <row r="380" spans="1:23" ht="11.25" customHeight="1">
      <c r="C380" s="8"/>
      <c r="D380" s="8"/>
      <c r="E380" s="8"/>
      <c r="F380" s="8"/>
      <c r="G380" s="8"/>
      <c r="H380" s="8"/>
      <c r="J380" s="8"/>
      <c r="K380" s="8"/>
      <c r="L380" s="9"/>
      <c r="N380" s="9"/>
      <c r="O380" s="9"/>
      <c r="P380" s="9"/>
      <c r="Q380" s="9"/>
      <c r="R380" s="9"/>
      <c r="S380" s="9"/>
      <c r="U380" s="9"/>
    </row>
    <row r="381" spans="1:23" ht="16" customHeight="1">
      <c r="C381" s="8"/>
      <c r="D381" s="157">
        <f>D358+7</f>
        <v>28</v>
      </c>
      <c r="E381" s="156"/>
      <c r="F381" s="156"/>
      <c r="G381" s="156"/>
      <c r="H381" s="156"/>
      <c r="I381" s="156"/>
      <c r="J381" s="156"/>
      <c r="K381" s="8"/>
      <c r="L381" s="9"/>
      <c r="N381" s="9"/>
      <c r="O381" s="157">
        <f>D381</f>
        <v>28</v>
      </c>
      <c r="P381" s="156"/>
      <c r="Q381" s="156"/>
      <c r="R381" s="156"/>
      <c r="S381" s="156"/>
      <c r="T381" s="156"/>
      <c r="U381" s="156"/>
    </row>
    <row r="382" spans="1:23" ht="13.5" customHeight="1">
      <c r="C382" s="8"/>
      <c r="D382" s="8"/>
      <c r="E382" s="8"/>
      <c r="F382" s="8"/>
      <c r="G382" s="8"/>
      <c r="H382" s="8"/>
      <c r="J382" s="8"/>
      <c r="K382" s="8"/>
      <c r="L382" s="9"/>
      <c r="N382" s="9"/>
      <c r="O382" s="9"/>
      <c r="P382" s="9"/>
      <c r="Q382" s="9"/>
      <c r="R382" s="9"/>
      <c r="S382" s="9"/>
      <c r="U382" s="9"/>
    </row>
    <row r="383" spans="1:23" ht="16" customHeight="1">
      <c r="C383" s="8"/>
      <c r="D383" s="8"/>
      <c r="E383" s="8"/>
      <c r="F383" s="8"/>
      <c r="G383" s="156">
        <f>Bozza!$E$91</f>
        <v>0</v>
      </c>
      <c r="H383" s="156"/>
      <c r="I383" s="156"/>
      <c r="J383" s="156"/>
      <c r="K383" s="8"/>
      <c r="L383" s="9"/>
      <c r="N383" s="9"/>
      <c r="O383" s="9"/>
      <c r="P383" s="9"/>
      <c r="Q383" s="9"/>
      <c r="R383" s="156">
        <f>Bozza!H91</f>
        <v>0</v>
      </c>
      <c r="S383" s="156"/>
      <c r="T383" s="156"/>
      <c r="U383" s="156"/>
    </row>
    <row r="384" spans="1:23" ht="34" customHeight="1">
      <c r="C384" s="8"/>
      <c r="D384" s="8"/>
      <c r="E384" s="8"/>
      <c r="F384" s="8"/>
      <c r="G384" s="8"/>
      <c r="H384" s="8"/>
      <c r="J384" s="8"/>
      <c r="K384" s="8"/>
      <c r="L384" s="9"/>
      <c r="N384" s="9"/>
      <c r="O384" s="9"/>
      <c r="P384" s="9"/>
      <c r="Q384" s="9"/>
      <c r="R384" s="9"/>
      <c r="S384" s="9"/>
      <c r="U384" s="9"/>
    </row>
    <row r="385" spans="1:23" ht="6.75" customHeight="1">
      <c r="B385" s="50" t="str">
        <f>IF(Bozza!$A$91 = "Lettura biblica", "X", "")</f>
        <v/>
      </c>
      <c r="C385" s="8"/>
      <c r="D385" s="8"/>
      <c r="E385" s="8"/>
      <c r="F385" s="8"/>
      <c r="G385" s="8"/>
      <c r="H385" s="8"/>
      <c r="I385" s="50" t="str">
        <f>IF(Bozza!$A$91 = "Terza visita ulteriore", "X", "")</f>
        <v/>
      </c>
      <c r="J385" s="8"/>
      <c r="K385" s="8"/>
      <c r="L385" s="9"/>
      <c r="M385" s="50" t="str">
        <f>IF(Bozza!$A$91 = "Lettura biblica", "X", "")</f>
        <v/>
      </c>
      <c r="N385" s="8"/>
      <c r="O385" s="8"/>
      <c r="P385" s="8"/>
      <c r="Q385" s="8"/>
      <c r="R385" s="8"/>
      <c r="S385" s="8"/>
      <c r="T385" s="50" t="str">
        <f>IF(Bozza!$A$91 = "Terza visita ulteriore", "X", "")</f>
        <v/>
      </c>
      <c r="U385" s="9"/>
    </row>
    <row r="386" spans="1:23" ht="6.75" customHeight="1">
      <c r="B386" s="50"/>
      <c r="C386" s="8"/>
      <c r="D386" s="8"/>
      <c r="E386" s="8"/>
      <c r="F386" s="8"/>
      <c r="G386" s="8"/>
      <c r="H386" s="8"/>
      <c r="I386" s="50"/>
      <c r="J386" s="8"/>
      <c r="K386" s="8"/>
      <c r="L386" s="9"/>
      <c r="M386" s="50"/>
      <c r="N386" s="8"/>
      <c r="O386" s="8"/>
      <c r="P386" s="8"/>
      <c r="Q386" s="8"/>
      <c r="R386" s="8"/>
      <c r="S386" s="8"/>
      <c r="T386" s="50"/>
      <c r="U386" s="9"/>
    </row>
    <row r="387" spans="1:23" ht="8" customHeight="1">
      <c r="B387" s="50" t="str">
        <f>IF(Bozza!$A$91 = "Primo contatto", "X", "")</f>
        <v/>
      </c>
      <c r="C387" s="8"/>
      <c r="D387" s="8"/>
      <c r="E387" s="8"/>
      <c r="F387" s="8"/>
      <c r="G387" s="8"/>
      <c r="H387" s="8"/>
      <c r="I387" s="50" t="str">
        <f>IF(Bozza!$A$91 = "Studio biblico", "X", "")</f>
        <v/>
      </c>
      <c r="J387" s="8"/>
      <c r="K387" s="8"/>
      <c r="L387" s="9"/>
      <c r="M387" s="50" t="str">
        <f>IF(Bozza!$A$91 = "Primo contatto", "X", "")</f>
        <v/>
      </c>
      <c r="N387" s="8"/>
      <c r="O387" s="8"/>
      <c r="P387" s="8"/>
      <c r="Q387" s="8"/>
      <c r="R387" s="8"/>
      <c r="S387" s="8"/>
      <c r="T387" s="50" t="str">
        <f>IF(Bozza!$A$91 = "Studio biblico", "X", "")</f>
        <v/>
      </c>
      <c r="U387" s="9"/>
    </row>
    <row r="388" spans="1:23" ht="6.75" customHeight="1">
      <c r="B388" s="50"/>
      <c r="C388" s="8"/>
      <c r="D388" s="8"/>
      <c r="E388" s="8"/>
      <c r="F388" s="8"/>
      <c r="G388" s="8"/>
      <c r="H388" s="8"/>
      <c r="I388" s="50"/>
      <c r="J388" s="8"/>
      <c r="K388" s="8"/>
      <c r="L388" s="9"/>
      <c r="M388" s="50"/>
      <c r="N388" s="8"/>
      <c r="O388" s="8"/>
      <c r="P388" s="8"/>
      <c r="Q388" s="8"/>
      <c r="R388" s="8"/>
      <c r="S388" s="8"/>
      <c r="T388" s="50"/>
      <c r="U388" s="9"/>
    </row>
    <row r="389" spans="1:23" ht="7" customHeight="1">
      <c r="B389" s="50" t="str">
        <f>IF(Bozza!$A$91 = "Prima visita ulteriore", "X", "")</f>
        <v/>
      </c>
      <c r="C389" s="8"/>
      <c r="D389" s="8"/>
      <c r="E389" s="8"/>
      <c r="F389" s="8"/>
      <c r="G389" s="8"/>
      <c r="H389" s="8"/>
      <c r="I389" s="50" t="str">
        <f>IF(Bozza!$A$91 = "Discorso", "X", "")</f>
        <v/>
      </c>
      <c r="J389" s="8"/>
      <c r="K389" s="8"/>
      <c r="L389" s="9"/>
      <c r="M389" s="50" t="str">
        <f>IF(Bozza!$A$91 = "Prima visita ulteriore", "X", "")</f>
        <v/>
      </c>
      <c r="N389" s="8"/>
      <c r="O389" s="8"/>
      <c r="P389" s="8"/>
      <c r="Q389" s="8"/>
      <c r="R389" s="8"/>
      <c r="S389" s="8"/>
      <c r="T389" s="50" t="str">
        <f>IF(Bozza!$A$91 = "Discorso", "X", "")</f>
        <v/>
      </c>
      <c r="U389" s="9"/>
    </row>
    <row r="390" spans="1:23" ht="6" customHeight="1">
      <c r="B390" s="50"/>
      <c r="C390" s="8"/>
      <c r="D390" s="8"/>
      <c r="E390" s="8"/>
      <c r="F390" s="8"/>
      <c r="G390" s="8"/>
      <c r="H390" s="8"/>
      <c r="I390" s="50"/>
      <c r="J390" s="8"/>
      <c r="K390" s="8"/>
      <c r="L390" s="9"/>
      <c r="M390" s="50"/>
      <c r="N390" s="8"/>
      <c r="O390" s="8"/>
      <c r="P390" s="8"/>
      <c r="Q390" s="8"/>
      <c r="R390" s="8"/>
      <c r="S390" s="8"/>
      <c r="T390" s="50"/>
      <c r="U390" s="9"/>
    </row>
    <row r="391" spans="1:23" ht="6.75" customHeight="1">
      <c r="B391" s="50" t="str">
        <f>IF(Bozza!$A$91 = "Seconda visita ulteriore", "X", "")</f>
        <v/>
      </c>
      <c r="C391" s="8"/>
      <c r="D391" s="8"/>
      <c r="E391" s="8"/>
      <c r="F391" s="8"/>
      <c r="G391" s="8"/>
      <c r="H391" s="8"/>
      <c r="I391" s="50"/>
      <c r="J391" s="8"/>
      <c r="K391" s="8"/>
      <c r="L391" s="9"/>
      <c r="M391" s="50" t="str">
        <f>IF(Bozza!$A$91 = "Seconda visita ulteriore", "X", "")</f>
        <v/>
      </c>
      <c r="N391" s="8"/>
      <c r="O391" s="8"/>
      <c r="P391" s="8"/>
      <c r="Q391" s="8"/>
      <c r="R391" s="8"/>
      <c r="S391" s="8"/>
      <c r="T391" s="50"/>
      <c r="U391" s="9"/>
    </row>
    <row r="392" spans="1:23" ht="24" customHeight="1">
      <c r="C392" s="8"/>
      <c r="D392" s="8"/>
      <c r="E392" s="8"/>
      <c r="F392" s="8"/>
      <c r="G392" s="8"/>
      <c r="H392" s="8"/>
      <c r="J392" s="8"/>
      <c r="K392" s="8"/>
      <c r="L392" s="9"/>
      <c r="N392" s="9"/>
      <c r="O392" s="9"/>
      <c r="P392" s="9"/>
      <c r="Q392" s="9"/>
      <c r="R392" s="9"/>
      <c r="S392" s="9"/>
      <c r="U392" s="9"/>
    </row>
    <row r="393" spans="1:23" ht="7.5" customHeight="1">
      <c r="A393" s="52"/>
      <c r="B393" s="55" t="s">
        <v>16</v>
      </c>
      <c r="C393" s="52"/>
      <c r="D393" s="52"/>
      <c r="E393" s="161"/>
      <c r="F393" s="161"/>
      <c r="G393" s="161"/>
      <c r="H393" s="161"/>
      <c r="I393" s="55"/>
      <c r="J393" s="52"/>
      <c r="K393" s="52"/>
      <c r="L393" s="53"/>
      <c r="M393" s="55"/>
      <c r="N393" s="53"/>
      <c r="O393" s="53"/>
      <c r="P393" s="162"/>
      <c r="Q393" s="162"/>
      <c r="R393" s="162"/>
      <c r="S393" s="162"/>
      <c r="T393" s="55"/>
      <c r="U393" s="53"/>
      <c r="V393" s="52"/>
      <c r="W393" s="52"/>
    </row>
    <row r="394" spans="1:23" s="8" customFormat="1" ht="7.5" customHeight="1">
      <c r="A394" s="52"/>
      <c r="B394" s="55"/>
      <c r="C394" s="52"/>
      <c r="D394" s="52"/>
      <c r="E394" s="52"/>
      <c r="F394" s="52"/>
      <c r="G394" s="52"/>
      <c r="H394" s="52"/>
      <c r="I394" s="55"/>
      <c r="J394" s="52"/>
      <c r="K394" s="52"/>
      <c r="L394" s="53"/>
      <c r="M394" s="55"/>
      <c r="N394" s="53"/>
      <c r="O394" s="53"/>
      <c r="P394" s="53"/>
      <c r="Q394" s="53"/>
      <c r="R394" s="53"/>
      <c r="S394" s="53"/>
      <c r="T394" s="55"/>
      <c r="U394" s="53"/>
      <c r="V394" s="52"/>
      <c r="W394" s="52"/>
    </row>
    <row r="395" spans="1:23" s="8" customFormat="1" ht="7.5" customHeight="1">
      <c r="A395" s="52"/>
      <c r="B395" s="55"/>
      <c r="C395" s="52"/>
      <c r="D395" s="52"/>
      <c r="E395" s="52"/>
      <c r="F395" s="52"/>
      <c r="G395" s="52"/>
      <c r="H395" s="52"/>
      <c r="I395" s="55"/>
      <c r="J395" s="52"/>
      <c r="K395" s="52"/>
      <c r="L395" s="53"/>
      <c r="M395" s="55" t="s">
        <v>16</v>
      </c>
      <c r="N395" s="53"/>
      <c r="O395" s="53"/>
      <c r="P395" s="53"/>
      <c r="Q395" s="53"/>
      <c r="R395" s="53"/>
      <c r="S395" s="53"/>
      <c r="T395" s="55"/>
      <c r="U395" s="53"/>
      <c r="V395" s="52"/>
      <c r="W395" s="52"/>
    </row>
    <row r="396" spans="1:23" s="8" customFormat="1" ht="6" customHeight="1">
      <c r="B396" s="54"/>
      <c r="E396" s="45"/>
      <c r="F396" s="45"/>
      <c r="G396" s="45"/>
      <c r="H396" s="45"/>
      <c r="I396" s="54"/>
      <c r="L396" s="46"/>
      <c r="M396" s="54"/>
      <c r="N396" s="46"/>
      <c r="O396" s="46"/>
      <c r="P396" s="46"/>
      <c r="Q396" s="46"/>
      <c r="R396" s="46"/>
      <c r="S396" s="46"/>
      <c r="T396" s="54"/>
      <c r="U396" s="46"/>
    </row>
    <row r="397" spans="1:23" s="8" customFormat="1" ht="8" customHeight="1">
      <c r="B397" s="54"/>
      <c r="E397" s="45"/>
      <c r="F397" s="45"/>
      <c r="G397" s="45"/>
      <c r="H397" s="45"/>
      <c r="I397" s="54"/>
      <c r="L397" s="46"/>
      <c r="M397" s="54"/>
      <c r="N397" s="46"/>
      <c r="O397" s="46"/>
      <c r="P397" s="46"/>
      <c r="Q397" s="46"/>
      <c r="R397" s="46"/>
      <c r="S397" s="46"/>
      <c r="T397" s="54"/>
      <c r="U397" s="46"/>
    </row>
    <row r="398" spans="1:23" ht="83" customHeight="1">
      <c r="C398" s="8"/>
      <c r="D398" s="8"/>
      <c r="E398" s="8"/>
      <c r="F398" s="8"/>
      <c r="G398" s="8"/>
      <c r="H398" s="8"/>
      <c r="J398" s="8"/>
      <c r="K398" s="8"/>
      <c r="L398" s="9"/>
      <c r="N398" s="9"/>
      <c r="O398" s="9"/>
      <c r="P398" s="9"/>
      <c r="Q398" s="9"/>
      <c r="R398" s="9"/>
      <c r="S398" s="9"/>
      <c r="U398" s="9"/>
    </row>
    <row r="399" spans="1:23" ht="68.25" customHeight="1">
      <c r="C399" s="8"/>
      <c r="D399" s="8"/>
      <c r="E399" s="8"/>
      <c r="F399" s="8"/>
      <c r="G399" s="8"/>
      <c r="H399" s="8"/>
      <c r="J399" s="8"/>
      <c r="K399" s="8"/>
      <c r="L399" s="9"/>
      <c r="N399" s="9"/>
      <c r="O399" s="9"/>
      <c r="P399" s="9"/>
      <c r="Q399" s="9"/>
      <c r="R399" s="9"/>
      <c r="S399" s="9"/>
      <c r="U399" s="9"/>
    </row>
    <row r="400" spans="1:23" ht="12" customHeight="1">
      <c r="C400" s="8"/>
      <c r="D400" s="8"/>
      <c r="E400" s="8"/>
      <c r="F400" s="8"/>
      <c r="G400" s="8"/>
      <c r="H400" s="155">
        <f>Bozza!$C$93</f>
        <v>0</v>
      </c>
      <c r="I400" s="155"/>
      <c r="J400" s="155"/>
      <c r="K400" s="8"/>
      <c r="L400" s="9"/>
      <c r="N400" s="9"/>
      <c r="O400" s="9"/>
      <c r="P400" s="9"/>
      <c r="Q400" s="9"/>
      <c r="R400" s="9"/>
      <c r="S400" s="156">
        <f>Bozza!F93</f>
        <v>0</v>
      </c>
      <c r="T400" s="156"/>
      <c r="U400" s="156"/>
    </row>
    <row r="401" spans="1:23" ht="11.25" customHeight="1">
      <c r="C401" s="8"/>
      <c r="D401" s="8"/>
      <c r="E401" s="8"/>
      <c r="F401" s="8"/>
      <c r="G401" s="8"/>
      <c r="H401" s="8"/>
      <c r="J401" s="8"/>
      <c r="K401" s="8"/>
      <c r="L401" s="9"/>
      <c r="N401" s="9"/>
      <c r="O401" s="9"/>
      <c r="P401" s="9"/>
      <c r="Q401" s="9"/>
      <c r="R401" s="9"/>
      <c r="S401" s="9"/>
      <c r="U401" s="9"/>
    </row>
    <row r="402" spans="1:23" ht="17" customHeight="1">
      <c r="C402" s="8"/>
      <c r="D402" s="8"/>
      <c r="E402" s="8"/>
      <c r="F402" s="155">
        <f>Bozza!$C$94</f>
        <v>0</v>
      </c>
      <c r="G402" s="155"/>
      <c r="H402" s="155"/>
      <c r="I402" s="155"/>
      <c r="J402" s="155"/>
      <c r="K402" s="8"/>
      <c r="L402" s="9"/>
      <c r="N402" s="9"/>
      <c r="O402" s="9"/>
      <c r="P402" s="9"/>
      <c r="Q402" s="156">
        <f>Bozza!F94</f>
        <v>0</v>
      </c>
      <c r="R402" s="156"/>
      <c r="S402" s="156"/>
      <c r="T402" s="156"/>
      <c r="U402" s="156"/>
    </row>
    <row r="403" spans="1:23" ht="11.25" customHeight="1">
      <c r="C403" s="8"/>
      <c r="D403" s="8"/>
      <c r="E403" s="8"/>
      <c r="F403" s="8"/>
      <c r="G403" s="8"/>
      <c r="H403" s="8"/>
      <c r="J403" s="8"/>
      <c r="K403" s="8"/>
      <c r="L403" s="9"/>
      <c r="N403" s="9"/>
      <c r="O403" s="9"/>
      <c r="P403" s="9"/>
      <c r="Q403" s="9"/>
      <c r="R403" s="9"/>
      <c r="S403" s="9"/>
      <c r="U403" s="9"/>
    </row>
    <row r="404" spans="1:23" ht="17" customHeight="1">
      <c r="C404" s="8"/>
      <c r="D404" s="157">
        <f>D381</f>
        <v>28</v>
      </c>
      <c r="E404" s="156"/>
      <c r="F404" s="156"/>
      <c r="G404" s="156"/>
      <c r="H404" s="156"/>
      <c r="I404" s="156"/>
      <c r="J404" s="156"/>
      <c r="K404" s="8"/>
      <c r="L404" s="9"/>
      <c r="N404" s="9"/>
      <c r="O404" s="157">
        <f>D404</f>
        <v>28</v>
      </c>
      <c r="P404" s="156"/>
      <c r="Q404" s="156"/>
      <c r="R404" s="156"/>
      <c r="S404" s="156"/>
      <c r="T404" s="156"/>
      <c r="U404" s="156"/>
    </row>
    <row r="405" spans="1:23" ht="13.5" customHeight="1">
      <c r="C405" s="8"/>
      <c r="D405" s="8"/>
      <c r="E405" s="8"/>
      <c r="F405" s="8"/>
      <c r="G405" s="8"/>
      <c r="H405" s="8"/>
      <c r="J405" s="8"/>
      <c r="K405" s="8"/>
      <c r="L405" s="9"/>
      <c r="N405" s="9"/>
      <c r="O405" s="9"/>
      <c r="P405" s="9"/>
      <c r="Q405" s="9"/>
      <c r="R405" s="9"/>
      <c r="S405" s="9"/>
      <c r="U405" s="9"/>
    </row>
    <row r="406" spans="1:23" ht="15" customHeight="1">
      <c r="C406" s="8"/>
      <c r="D406" s="8"/>
      <c r="E406" s="8"/>
      <c r="F406" s="8"/>
      <c r="G406" s="156">
        <f>Bozza!$E$93</f>
        <v>0</v>
      </c>
      <c r="H406" s="156"/>
      <c r="I406" s="156"/>
      <c r="J406" s="156"/>
      <c r="K406" s="8"/>
      <c r="L406" s="9"/>
      <c r="N406" s="9"/>
      <c r="O406" s="9"/>
      <c r="P406" s="9"/>
      <c r="Q406" s="9"/>
      <c r="R406" s="156">
        <f>Bozza!H93</f>
        <v>0</v>
      </c>
      <c r="S406" s="156"/>
      <c r="T406" s="156"/>
      <c r="U406" s="156"/>
    </row>
    <row r="407" spans="1:23" ht="34" customHeight="1">
      <c r="C407" s="8"/>
      <c r="D407" s="8"/>
      <c r="E407" s="8"/>
      <c r="F407" s="8"/>
      <c r="G407" s="8"/>
      <c r="H407" s="8"/>
      <c r="J407" s="8"/>
      <c r="K407" s="8"/>
      <c r="L407" s="9"/>
      <c r="N407" s="9"/>
      <c r="O407" s="9"/>
      <c r="P407" s="9"/>
      <c r="Q407" s="9"/>
      <c r="R407" s="9"/>
      <c r="S407" s="9"/>
      <c r="U407" s="9"/>
    </row>
    <row r="408" spans="1:23" ht="6.75" customHeight="1">
      <c r="B408" s="50" t="str">
        <f>IF(Bozza!$A$93 = "Lettura biblica", "X", "")</f>
        <v/>
      </c>
      <c r="C408" s="8"/>
      <c r="D408" s="8"/>
      <c r="E408" s="8"/>
      <c r="F408" s="8"/>
      <c r="G408" s="8"/>
      <c r="H408" s="8"/>
      <c r="I408" s="50" t="str">
        <f>IF(Bozza!$A$93 = "Terza visita ulteriore", "X", "")</f>
        <v/>
      </c>
      <c r="J408" s="8"/>
      <c r="K408" s="8"/>
      <c r="L408" s="9"/>
      <c r="M408" s="50" t="str">
        <f>IF(Bozza!$A$93 = "Lettura biblica", "X", "")</f>
        <v/>
      </c>
      <c r="N408" s="8"/>
      <c r="O408" s="8"/>
      <c r="P408" s="8"/>
      <c r="Q408" s="8"/>
      <c r="R408" s="8"/>
      <c r="S408" s="8"/>
      <c r="T408" s="50" t="str">
        <f>IF(Bozza!$A$93 = "Terza visita ulteriore", "X", "")</f>
        <v/>
      </c>
      <c r="U408" s="9"/>
    </row>
    <row r="409" spans="1:23" ht="6.75" customHeight="1">
      <c r="B409" s="50"/>
      <c r="C409" s="8"/>
      <c r="D409" s="8"/>
      <c r="E409" s="8"/>
      <c r="F409" s="8"/>
      <c r="G409" s="8"/>
      <c r="H409" s="8"/>
      <c r="I409" s="50"/>
      <c r="J409" s="8"/>
      <c r="K409" s="8"/>
      <c r="L409" s="9"/>
      <c r="M409" s="50"/>
      <c r="N409" s="8"/>
      <c r="O409" s="8"/>
      <c r="P409" s="8"/>
      <c r="Q409" s="8"/>
      <c r="R409" s="8"/>
      <c r="S409" s="8"/>
      <c r="T409" s="50"/>
      <c r="U409" s="9"/>
    </row>
    <row r="410" spans="1:23" ht="8" customHeight="1">
      <c r="B410" s="50" t="str">
        <f>IF(Bozza!$A$93 = "Primo contatto", "X", "")</f>
        <v/>
      </c>
      <c r="C410" s="8"/>
      <c r="D410" s="8"/>
      <c r="E410" s="8"/>
      <c r="F410" s="8"/>
      <c r="G410" s="8"/>
      <c r="H410" s="8"/>
      <c r="I410" s="50" t="str">
        <f>IF(Bozza!$A$93 = "Studio biblico", "X", "")</f>
        <v/>
      </c>
      <c r="J410" s="8"/>
      <c r="K410" s="8"/>
      <c r="L410" s="9"/>
      <c r="M410" s="50" t="str">
        <f>IF(Bozza!$A$93 = "Primo contatto", "X", "")</f>
        <v/>
      </c>
      <c r="N410" s="8"/>
      <c r="O410" s="8"/>
      <c r="P410" s="8"/>
      <c r="Q410" s="8"/>
      <c r="R410" s="8"/>
      <c r="S410" s="8"/>
      <c r="T410" s="50" t="str">
        <f>IF(Bozza!$A$93 = "Studio biblico", "X", "")</f>
        <v/>
      </c>
      <c r="U410" s="9"/>
    </row>
    <row r="411" spans="1:23" ht="6.75" customHeight="1">
      <c r="B411" s="50"/>
      <c r="C411" s="8"/>
      <c r="D411" s="8"/>
      <c r="E411" s="8"/>
      <c r="F411" s="8"/>
      <c r="G411" s="8"/>
      <c r="H411" s="8"/>
      <c r="I411" s="50"/>
      <c r="J411" s="8"/>
      <c r="K411" s="8"/>
      <c r="L411" s="9"/>
      <c r="M411" s="50"/>
      <c r="N411" s="8"/>
      <c r="O411" s="8"/>
      <c r="P411" s="8"/>
      <c r="Q411" s="8"/>
      <c r="R411" s="8"/>
      <c r="S411" s="8"/>
      <c r="T411" s="50"/>
      <c r="U411" s="9"/>
    </row>
    <row r="412" spans="1:23" ht="6" customHeight="1">
      <c r="B412" s="50" t="str">
        <f>IF(Bozza!$A$93 = "Prima visita ulteriore", "X", "")</f>
        <v/>
      </c>
      <c r="C412" s="8"/>
      <c r="D412" s="8"/>
      <c r="E412" s="8"/>
      <c r="F412" s="8"/>
      <c r="G412" s="8"/>
      <c r="H412" s="8"/>
      <c r="I412" s="50" t="str">
        <f>IF(Bozza!$A$93 = "Discorso", "X", "")</f>
        <v/>
      </c>
      <c r="J412" s="8"/>
      <c r="K412" s="8"/>
      <c r="L412" s="9"/>
      <c r="M412" s="50" t="str">
        <f>IF(Bozza!$A$93 = "Prima visita ulteriore", "X", "")</f>
        <v/>
      </c>
      <c r="N412" s="8"/>
      <c r="O412" s="8"/>
      <c r="P412" s="8"/>
      <c r="Q412" s="8"/>
      <c r="R412" s="8"/>
      <c r="S412" s="8"/>
      <c r="T412" s="50" t="str">
        <f>IF(Bozza!$A$93 = "Discorso", "X", "")</f>
        <v/>
      </c>
      <c r="U412" s="9"/>
    </row>
    <row r="413" spans="1:23" ht="6" customHeight="1">
      <c r="B413" s="50"/>
      <c r="C413" s="8"/>
      <c r="D413" s="8"/>
      <c r="E413" s="8"/>
      <c r="F413" s="8"/>
      <c r="G413" s="8"/>
      <c r="H413" s="8"/>
      <c r="I413" s="50"/>
      <c r="J413" s="8"/>
      <c r="K413" s="8"/>
      <c r="L413" s="9"/>
      <c r="M413" s="50"/>
      <c r="N413" s="8"/>
      <c r="O413" s="8"/>
      <c r="P413" s="8"/>
      <c r="Q413" s="8"/>
      <c r="R413" s="8"/>
      <c r="S413" s="8"/>
      <c r="T413" s="50"/>
      <c r="U413" s="9"/>
    </row>
    <row r="414" spans="1:23" ht="7" customHeight="1">
      <c r="B414" s="50" t="str">
        <f>IF(Bozza!$A$93 = "Seconda visita ulteriore", "X", "")</f>
        <v/>
      </c>
      <c r="C414" s="8"/>
      <c r="D414" s="8"/>
      <c r="E414" s="8"/>
      <c r="F414" s="8"/>
      <c r="G414" s="8"/>
      <c r="H414" s="8"/>
      <c r="I414" s="50"/>
      <c r="J414" s="8"/>
      <c r="K414" s="8"/>
      <c r="L414" s="9"/>
      <c r="M414" s="50" t="str">
        <f>IF(Bozza!$A$93 = "Seconda visita ulteriore", "X", "")</f>
        <v/>
      </c>
      <c r="N414" s="8"/>
      <c r="O414" s="8"/>
      <c r="P414" s="8"/>
      <c r="Q414" s="8"/>
      <c r="R414" s="8"/>
      <c r="S414" s="8"/>
      <c r="T414" s="50"/>
      <c r="U414" s="9"/>
    </row>
    <row r="415" spans="1:23" ht="24" customHeight="1">
      <c r="C415" s="8"/>
      <c r="D415" s="8"/>
      <c r="E415" s="8"/>
      <c r="F415" s="8"/>
      <c r="G415" s="8"/>
      <c r="H415" s="8"/>
      <c r="J415" s="8"/>
      <c r="K415" s="8"/>
      <c r="L415" s="9"/>
      <c r="N415" s="9"/>
      <c r="O415" s="9"/>
      <c r="P415" s="9"/>
      <c r="Q415" s="9"/>
      <c r="R415" s="9"/>
      <c r="S415" s="9"/>
      <c r="U415" s="9"/>
    </row>
    <row r="416" spans="1:23" ht="7.5" customHeight="1">
      <c r="A416" s="52"/>
      <c r="B416" s="55" t="s">
        <v>16</v>
      </c>
      <c r="C416" s="52"/>
      <c r="D416" s="52"/>
      <c r="E416" s="161"/>
      <c r="F416" s="161"/>
      <c r="G416" s="161"/>
      <c r="H416" s="161"/>
      <c r="I416" s="55"/>
      <c r="J416" s="52"/>
      <c r="K416" s="52"/>
      <c r="L416" s="53"/>
      <c r="M416" s="55"/>
      <c r="N416" s="53"/>
      <c r="O416" s="53"/>
      <c r="P416" s="162"/>
      <c r="Q416" s="162"/>
      <c r="R416" s="162"/>
      <c r="S416" s="162"/>
      <c r="T416" s="55"/>
      <c r="U416" s="53"/>
      <c r="V416" s="52"/>
      <c r="W416" s="52"/>
    </row>
    <row r="417" spans="1:23" s="8" customFormat="1" ht="7.5" customHeight="1">
      <c r="A417" s="52"/>
      <c r="B417" s="55"/>
      <c r="C417" s="52"/>
      <c r="D417" s="52"/>
      <c r="E417" s="52"/>
      <c r="F417" s="52"/>
      <c r="G417" s="52"/>
      <c r="H417" s="52"/>
      <c r="I417" s="55"/>
      <c r="J417" s="52"/>
      <c r="K417" s="52"/>
      <c r="L417" s="53"/>
      <c r="M417" s="55"/>
      <c r="N417" s="53"/>
      <c r="O417" s="53"/>
      <c r="P417" s="53"/>
      <c r="Q417" s="53"/>
      <c r="R417" s="53"/>
      <c r="S417" s="53"/>
      <c r="T417" s="55"/>
      <c r="U417" s="53"/>
      <c r="V417" s="52"/>
      <c r="W417" s="52"/>
    </row>
    <row r="418" spans="1:23" s="8" customFormat="1" ht="7.5" customHeight="1">
      <c r="A418" s="52"/>
      <c r="B418" s="55"/>
      <c r="C418" s="52"/>
      <c r="D418" s="52"/>
      <c r="E418" s="52"/>
      <c r="F418" s="52"/>
      <c r="G418" s="52"/>
      <c r="H418" s="52"/>
      <c r="I418" s="55"/>
      <c r="J418" s="52"/>
      <c r="K418" s="52"/>
      <c r="L418" s="53"/>
      <c r="M418" s="55" t="s">
        <v>16</v>
      </c>
      <c r="N418" s="53"/>
      <c r="O418" s="53"/>
      <c r="P418" s="53"/>
      <c r="Q418" s="53"/>
      <c r="R418" s="53"/>
      <c r="S418" s="53"/>
      <c r="T418" s="55"/>
      <c r="U418" s="53"/>
      <c r="V418" s="52"/>
      <c r="W418" s="52"/>
    </row>
    <row r="419" spans="1:23" s="8" customFormat="1" ht="6" customHeight="1">
      <c r="B419" s="54"/>
      <c r="E419" s="45"/>
      <c r="F419" s="45"/>
      <c r="G419" s="45"/>
      <c r="H419" s="45"/>
      <c r="I419" s="54"/>
      <c r="L419" s="46"/>
      <c r="M419" s="54"/>
      <c r="N419" s="46"/>
      <c r="O419" s="46"/>
      <c r="P419" s="46"/>
      <c r="Q419" s="46"/>
      <c r="R419" s="46"/>
      <c r="S419" s="46"/>
      <c r="T419" s="54"/>
      <c r="U419" s="46"/>
    </row>
    <row r="420" spans="1:23" s="8" customFormat="1" ht="7.5" customHeight="1">
      <c r="B420" s="54"/>
      <c r="E420" s="45"/>
      <c r="F420" s="45"/>
      <c r="G420" s="45"/>
      <c r="H420" s="45"/>
      <c r="I420" s="54"/>
      <c r="L420" s="46"/>
      <c r="M420" s="54"/>
      <c r="N420" s="46"/>
      <c r="O420" s="46"/>
      <c r="P420" s="46"/>
      <c r="Q420" s="46"/>
      <c r="R420" s="46"/>
      <c r="S420" s="46"/>
      <c r="T420" s="54"/>
      <c r="U420" s="46"/>
    </row>
    <row r="421" spans="1:23" s="8" customFormat="1" ht="7.5" customHeight="1">
      <c r="B421" s="54"/>
      <c r="E421" s="45"/>
      <c r="F421" s="45"/>
      <c r="G421" s="45"/>
      <c r="H421" s="45"/>
      <c r="I421" s="54"/>
      <c r="L421" s="46"/>
      <c r="M421" s="54"/>
      <c r="N421" s="46"/>
      <c r="O421" s="46"/>
      <c r="P421" s="46"/>
      <c r="Q421" s="46"/>
      <c r="R421" s="46"/>
      <c r="S421" s="46"/>
      <c r="T421" s="54"/>
      <c r="U421" s="46"/>
    </row>
    <row r="422" spans="1:23" ht="82" customHeight="1">
      <c r="C422" s="8"/>
      <c r="D422" s="8"/>
      <c r="E422" s="8"/>
      <c r="F422" s="8"/>
      <c r="G422" s="8"/>
      <c r="H422" s="8"/>
      <c r="J422" s="8"/>
      <c r="K422" s="8"/>
      <c r="L422" s="9"/>
      <c r="N422" s="9"/>
      <c r="O422" s="9"/>
      <c r="P422" s="9"/>
      <c r="Q422" s="9"/>
      <c r="R422" s="9"/>
      <c r="S422" s="9"/>
      <c r="U422" s="9"/>
    </row>
    <row r="423" spans="1:23" ht="68.25" customHeight="1">
      <c r="C423" s="8"/>
      <c r="D423" s="8"/>
      <c r="E423" s="8"/>
      <c r="F423" s="8"/>
      <c r="G423" s="8"/>
      <c r="H423" s="8"/>
      <c r="J423" s="8"/>
      <c r="K423" s="8"/>
      <c r="L423" s="9"/>
      <c r="N423" s="9"/>
      <c r="O423" s="9"/>
      <c r="P423" s="9"/>
      <c r="Q423" s="9"/>
      <c r="R423" s="9"/>
      <c r="S423" s="9"/>
      <c r="U423" s="9"/>
    </row>
    <row r="424" spans="1:23" ht="12" customHeight="1">
      <c r="C424" s="8"/>
      <c r="D424" s="8"/>
      <c r="E424" s="8"/>
      <c r="F424" s="8"/>
      <c r="G424" s="8"/>
      <c r="H424" s="156">
        <f>Bozza!$C$95</f>
        <v>0</v>
      </c>
      <c r="I424" s="156"/>
      <c r="J424" s="156"/>
      <c r="K424" s="8"/>
      <c r="L424" s="9"/>
      <c r="N424" s="9"/>
      <c r="O424" s="9"/>
      <c r="P424" s="9"/>
      <c r="Q424" s="9"/>
      <c r="R424" s="9"/>
      <c r="S424" s="156">
        <f>Bozza!F95</f>
        <v>0</v>
      </c>
      <c r="T424" s="156"/>
      <c r="U424" s="156"/>
    </row>
    <row r="425" spans="1:23" ht="11.25" customHeight="1">
      <c r="C425" s="8"/>
      <c r="D425" s="8"/>
      <c r="E425" s="8"/>
      <c r="F425" s="8"/>
      <c r="G425" s="8"/>
      <c r="H425" s="8"/>
      <c r="J425" s="8"/>
      <c r="K425" s="8"/>
      <c r="L425" s="9"/>
      <c r="N425" s="9"/>
      <c r="O425" s="9"/>
      <c r="P425" s="9"/>
      <c r="Q425" s="9"/>
      <c r="R425" s="9"/>
      <c r="S425" s="9"/>
      <c r="U425" s="9"/>
    </row>
    <row r="426" spans="1:23" ht="17" customHeight="1">
      <c r="C426" s="8"/>
      <c r="D426" s="8"/>
      <c r="E426" s="8"/>
      <c r="F426" s="156">
        <f>Bozza!$C$96</f>
        <v>0</v>
      </c>
      <c r="G426" s="156"/>
      <c r="H426" s="156"/>
      <c r="I426" s="156"/>
      <c r="J426" s="156"/>
      <c r="K426" s="8"/>
      <c r="L426" s="9"/>
      <c r="N426" s="9"/>
      <c r="O426" s="9"/>
      <c r="P426" s="9"/>
      <c r="Q426" s="156">
        <f>Bozza!F96</f>
        <v>0</v>
      </c>
      <c r="R426" s="156"/>
      <c r="S426" s="156"/>
      <c r="T426" s="156"/>
      <c r="U426" s="156"/>
    </row>
    <row r="427" spans="1:23" ht="11.25" customHeight="1">
      <c r="C427" s="8"/>
      <c r="D427" s="8"/>
      <c r="E427" s="8"/>
      <c r="F427" s="8"/>
      <c r="G427" s="8"/>
      <c r="H427" s="8"/>
      <c r="J427" s="8"/>
      <c r="K427" s="8"/>
      <c r="L427" s="9"/>
      <c r="N427" s="9"/>
      <c r="O427" s="9"/>
      <c r="P427" s="9"/>
      <c r="Q427" s="9"/>
      <c r="R427" s="9"/>
      <c r="S427" s="9"/>
      <c r="U427" s="9"/>
    </row>
    <row r="428" spans="1:23" ht="17" customHeight="1">
      <c r="C428" s="8"/>
      <c r="D428" s="157">
        <f>D404</f>
        <v>28</v>
      </c>
      <c r="E428" s="156"/>
      <c r="F428" s="156"/>
      <c r="G428" s="156"/>
      <c r="H428" s="156"/>
      <c r="I428" s="156"/>
      <c r="J428" s="156"/>
      <c r="K428" s="8"/>
      <c r="L428" s="9"/>
      <c r="N428" s="9"/>
      <c r="O428" s="157">
        <f>D428</f>
        <v>28</v>
      </c>
      <c r="P428" s="156"/>
      <c r="Q428" s="156"/>
      <c r="R428" s="156"/>
      <c r="S428" s="156"/>
      <c r="T428" s="156"/>
      <c r="U428" s="156"/>
    </row>
    <row r="429" spans="1:23" ht="13.5" customHeight="1">
      <c r="C429" s="8"/>
      <c r="D429" s="8"/>
      <c r="E429" s="8"/>
      <c r="F429" s="8"/>
      <c r="G429" s="8"/>
      <c r="H429" s="8"/>
      <c r="J429" s="8"/>
      <c r="K429" s="8"/>
      <c r="L429" s="9"/>
      <c r="N429" s="9"/>
      <c r="O429" s="9"/>
      <c r="P429" s="9"/>
      <c r="Q429" s="9"/>
      <c r="R429" s="9"/>
      <c r="S429" s="9"/>
      <c r="U429" s="9"/>
    </row>
    <row r="430" spans="1:23" ht="14" customHeight="1">
      <c r="C430" s="8"/>
      <c r="D430" s="8"/>
      <c r="E430" s="8"/>
      <c r="F430" s="8"/>
      <c r="G430" s="156">
        <f>Bozza!$E$95</f>
        <v>0</v>
      </c>
      <c r="H430" s="156"/>
      <c r="I430" s="156"/>
      <c r="J430" s="156"/>
      <c r="K430" s="8"/>
      <c r="L430" s="9"/>
      <c r="N430" s="9"/>
      <c r="O430" s="9"/>
      <c r="P430" s="9"/>
      <c r="Q430" s="9"/>
      <c r="R430" s="156">
        <f>Bozza!H95</f>
        <v>0</v>
      </c>
      <c r="S430" s="156"/>
      <c r="T430" s="156"/>
      <c r="U430" s="156"/>
    </row>
    <row r="431" spans="1:23" ht="35" customHeight="1">
      <c r="C431" s="8"/>
      <c r="D431" s="8"/>
      <c r="E431" s="8"/>
      <c r="F431" s="8"/>
      <c r="G431" s="8"/>
      <c r="H431" s="8"/>
      <c r="J431" s="8"/>
      <c r="K431" s="8"/>
      <c r="L431" s="9"/>
      <c r="N431" s="9"/>
      <c r="O431" s="9"/>
      <c r="P431" s="9"/>
      <c r="Q431" s="9"/>
      <c r="R431" s="9"/>
      <c r="S431" s="9"/>
      <c r="U431" s="9"/>
    </row>
    <row r="432" spans="1:23" ht="6.75" customHeight="1">
      <c r="B432" s="50" t="str">
        <f>IF(Bozza!$A$95 = "Lettura biblica", "X", "")</f>
        <v/>
      </c>
      <c r="C432" s="8"/>
      <c r="D432" s="8"/>
      <c r="E432" s="8"/>
      <c r="F432" s="8"/>
      <c r="G432" s="8"/>
      <c r="H432" s="8"/>
      <c r="I432" s="50" t="str">
        <f>IF(Bozza!$A$95 = "Terza visita ulteriore", "X", "")</f>
        <v/>
      </c>
      <c r="J432" s="8"/>
      <c r="K432" s="8"/>
      <c r="L432" s="9"/>
      <c r="M432" s="50" t="str">
        <f>IF(Bozza!$A$95 = "Lettura biblica", "X", "")</f>
        <v/>
      </c>
      <c r="N432" s="8"/>
      <c r="O432" s="8"/>
      <c r="P432" s="8"/>
      <c r="Q432" s="8"/>
      <c r="R432" s="8"/>
      <c r="S432" s="8"/>
      <c r="T432" s="50" t="str">
        <f>IF(Bozza!$A$95 = "Terza visita ulteriore", "X", "")</f>
        <v/>
      </c>
      <c r="U432" s="9"/>
    </row>
    <row r="433" spans="1:23" ht="6.75" customHeight="1">
      <c r="B433" s="50"/>
      <c r="C433" s="8"/>
      <c r="D433" s="8"/>
      <c r="E433" s="8"/>
      <c r="F433" s="8"/>
      <c r="G433" s="8"/>
      <c r="H433" s="8"/>
      <c r="I433" s="50"/>
      <c r="J433" s="8"/>
      <c r="K433" s="8"/>
      <c r="L433" s="9"/>
      <c r="M433" s="50"/>
      <c r="N433" s="8"/>
      <c r="O433" s="8"/>
      <c r="P433" s="8"/>
      <c r="Q433" s="8"/>
      <c r="R433" s="8"/>
      <c r="S433" s="8"/>
      <c r="T433" s="50"/>
      <c r="U433" s="9"/>
    </row>
    <row r="434" spans="1:23" ht="6" customHeight="1">
      <c r="B434" s="50" t="str">
        <f>IF(Bozza!$A$95 = "Primo contatto", "X", "")</f>
        <v/>
      </c>
      <c r="C434" s="8"/>
      <c r="D434" s="8"/>
      <c r="E434" s="8"/>
      <c r="F434" s="8"/>
      <c r="G434" s="8"/>
      <c r="H434" s="8"/>
      <c r="I434" s="50" t="str">
        <f>IF(Bozza!$A$95 = "Studio biblico", "X", "")</f>
        <v/>
      </c>
      <c r="J434" s="8"/>
      <c r="K434" s="8"/>
      <c r="L434" s="9"/>
      <c r="M434" s="50" t="str">
        <f>IF(Bozza!$A$95 = "Primo contatto", "X", "")</f>
        <v/>
      </c>
      <c r="N434" s="8"/>
      <c r="O434" s="8"/>
      <c r="P434" s="8"/>
      <c r="Q434" s="8"/>
      <c r="R434" s="8"/>
      <c r="S434" s="8"/>
      <c r="T434" s="50" t="str">
        <f>IF(Bozza!$A$95 = "Studio biblico", "X", "")</f>
        <v/>
      </c>
      <c r="U434" s="9"/>
    </row>
    <row r="435" spans="1:23" ht="6.75" customHeight="1">
      <c r="B435" s="50"/>
      <c r="C435" s="8"/>
      <c r="D435" s="8"/>
      <c r="E435" s="8"/>
      <c r="F435" s="8"/>
      <c r="G435" s="8"/>
      <c r="H435" s="8"/>
      <c r="I435" s="50"/>
      <c r="J435" s="8"/>
      <c r="K435" s="8"/>
      <c r="L435" s="9"/>
      <c r="M435" s="50"/>
      <c r="N435" s="8"/>
      <c r="O435" s="8"/>
      <c r="P435" s="8"/>
      <c r="Q435" s="8"/>
      <c r="R435" s="8"/>
      <c r="S435" s="8"/>
      <c r="T435" s="50"/>
      <c r="U435" s="9"/>
    </row>
    <row r="436" spans="1:23" ht="8" customHeight="1">
      <c r="B436" s="50" t="str">
        <f>IF(Bozza!$A$95 = "Prima visita ulteriore", "X", "")</f>
        <v/>
      </c>
      <c r="C436" s="8"/>
      <c r="D436" s="8"/>
      <c r="E436" s="8"/>
      <c r="F436" s="8"/>
      <c r="G436" s="8"/>
      <c r="H436" s="8"/>
      <c r="I436" s="50" t="str">
        <f>IF(Bozza!$A$95 = "Discorso", "X", "")</f>
        <v/>
      </c>
      <c r="J436" s="8"/>
      <c r="K436" s="8"/>
      <c r="L436" s="9"/>
      <c r="M436" s="50" t="str">
        <f>IF(Bozza!$A$95 = "Prima visita ulteriore", "X", "")</f>
        <v/>
      </c>
      <c r="N436" s="8"/>
      <c r="O436" s="8"/>
      <c r="P436" s="8"/>
      <c r="Q436" s="8"/>
      <c r="R436" s="8"/>
      <c r="S436" s="8"/>
      <c r="T436" s="50" t="str">
        <f>IF(Bozza!$A$95 = "Discorso", "X", "")</f>
        <v/>
      </c>
      <c r="U436" s="9"/>
    </row>
    <row r="437" spans="1:23" ht="7.5" customHeight="1">
      <c r="B437" s="50"/>
      <c r="C437" s="8"/>
      <c r="D437" s="8"/>
      <c r="E437" s="8"/>
      <c r="F437" s="8"/>
      <c r="G437" s="8"/>
      <c r="H437" s="8"/>
      <c r="I437" s="50"/>
      <c r="J437" s="8"/>
      <c r="K437" s="8"/>
      <c r="L437" s="9"/>
      <c r="M437" s="50"/>
      <c r="N437" s="8"/>
      <c r="O437" s="8"/>
      <c r="P437" s="8"/>
      <c r="Q437" s="8"/>
      <c r="R437" s="8"/>
      <c r="S437" s="8"/>
      <c r="T437" s="50"/>
      <c r="U437" s="9"/>
    </row>
    <row r="438" spans="1:23" ht="6.75" customHeight="1">
      <c r="B438" s="50" t="str">
        <f>IF(Bozza!$A$95 = "Seconda visita ulteriore", "X", "")</f>
        <v/>
      </c>
      <c r="C438" s="8"/>
      <c r="D438" s="8"/>
      <c r="E438" s="8"/>
      <c r="F438" s="8"/>
      <c r="G438" s="8"/>
      <c r="H438" s="8"/>
      <c r="I438" s="50"/>
      <c r="J438" s="8"/>
      <c r="K438" s="8"/>
      <c r="L438" s="9"/>
      <c r="M438" s="50" t="str">
        <f>IF(Bozza!$A$95 = "Seconda visita ulteriore", "X", "")</f>
        <v/>
      </c>
      <c r="N438" s="8"/>
      <c r="O438" s="8"/>
      <c r="P438" s="8"/>
      <c r="Q438" s="8"/>
      <c r="R438" s="8"/>
      <c r="S438" s="8"/>
      <c r="T438" s="50"/>
      <c r="U438" s="9"/>
    </row>
    <row r="439" spans="1:23" ht="24" customHeight="1">
      <c r="C439" s="8"/>
      <c r="D439" s="8"/>
      <c r="E439" s="8"/>
      <c r="F439" s="8"/>
      <c r="G439" s="8"/>
      <c r="H439" s="8"/>
      <c r="J439" s="8"/>
      <c r="K439" s="8"/>
      <c r="L439" s="9"/>
      <c r="N439" s="9"/>
      <c r="O439" s="9"/>
      <c r="P439" s="9"/>
      <c r="Q439" s="9"/>
      <c r="R439" s="9"/>
      <c r="S439" s="9"/>
      <c r="U439" s="9"/>
    </row>
    <row r="440" spans="1:23" ht="6" customHeight="1">
      <c r="A440" s="52"/>
      <c r="B440" s="55" t="s">
        <v>16</v>
      </c>
      <c r="C440" s="52"/>
      <c r="D440" s="52"/>
      <c r="E440" s="161"/>
      <c r="F440" s="161"/>
      <c r="G440" s="161"/>
      <c r="H440" s="161"/>
      <c r="I440" s="55"/>
      <c r="J440" s="52"/>
      <c r="K440" s="52"/>
      <c r="L440" s="53"/>
      <c r="M440" s="55"/>
      <c r="N440" s="53"/>
      <c r="O440" s="53"/>
      <c r="P440" s="162"/>
      <c r="Q440" s="162"/>
      <c r="R440" s="162"/>
      <c r="S440" s="162"/>
      <c r="T440" s="55"/>
      <c r="U440" s="53"/>
      <c r="V440" s="52"/>
      <c r="W440" s="52"/>
    </row>
    <row r="441" spans="1:23" s="8" customFormat="1" ht="6" customHeight="1">
      <c r="A441" s="52"/>
      <c r="B441" s="55"/>
      <c r="C441" s="52"/>
      <c r="D441" s="52"/>
      <c r="E441" s="52"/>
      <c r="F441" s="52"/>
      <c r="G441" s="52"/>
      <c r="H441" s="52"/>
      <c r="I441" s="55"/>
      <c r="J441" s="52"/>
      <c r="K441" s="52"/>
      <c r="L441" s="53"/>
      <c r="M441" s="55"/>
      <c r="N441" s="53"/>
      <c r="O441" s="53"/>
      <c r="P441" s="53"/>
      <c r="Q441" s="53"/>
      <c r="R441" s="53"/>
      <c r="S441" s="53"/>
      <c r="T441" s="55"/>
      <c r="U441" s="53"/>
      <c r="V441" s="52"/>
      <c r="W441" s="52"/>
    </row>
    <row r="442" spans="1:23" s="8" customFormat="1" ht="8" customHeight="1">
      <c r="A442" s="52"/>
      <c r="B442" s="55"/>
      <c r="C442" s="52"/>
      <c r="D442" s="52"/>
      <c r="E442" s="52"/>
      <c r="F442" s="52"/>
      <c r="G442" s="52"/>
      <c r="H442" s="52"/>
      <c r="I442" s="55"/>
      <c r="J442" s="52"/>
      <c r="K442" s="52"/>
      <c r="L442" s="53"/>
      <c r="M442" s="55" t="s">
        <v>16</v>
      </c>
      <c r="N442" s="53"/>
      <c r="O442" s="53"/>
      <c r="P442" s="53"/>
      <c r="Q442" s="53"/>
      <c r="R442" s="53"/>
      <c r="S442" s="53"/>
      <c r="T442" s="55"/>
      <c r="U442" s="53"/>
      <c r="V442" s="52"/>
      <c r="W442" s="52"/>
    </row>
    <row r="443" spans="1:23" s="8" customFormat="1" ht="6" customHeight="1">
      <c r="B443" s="54"/>
      <c r="E443" s="45"/>
      <c r="F443" s="45"/>
      <c r="G443" s="45"/>
      <c r="H443" s="45"/>
      <c r="I443" s="54"/>
      <c r="L443" s="46"/>
      <c r="M443" s="54"/>
      <c r="N443" s="46"/>
      <c r="O443" s="46"/>
      <c r="P443" s="46"/>
      <c r="Q443" s="46"/>
      <c r="R443" s="46"/>
      <c r="S443" s="46"/>
      <c r="T443" s="54"/>
      <c r="U443" s="46"/>
    </row>
    <row r="444" spans="1:23" s="8" customFormat="1" ht="7" customHeight="1">
      <c r="B444" s="54"/>
      <c r="E444" s="45"/>
      <c r="F444" s="45"/>
      <c r="G444" s="45"/>
      <c r="H444" s="45"/>
      <c r="I444" s="54"/>
      <c r="L444" s="46"/>
      <c r="M444" s="54"/>
      <c r="N444" s="46"/>
      <c r="O444" s="46"/>
      <c r="P444" s="46"/>
      <c r="Q444" s="46"/>
      <c r="R444" s="46"/>
      <c r="S444" s="46"/>
      <c r="T444" s="54"/>
      <c r="U444" s="46"/>
    </row>
    <row r="445" spans="1:23" s="8" customFormat="1" ht="6" customHeight="1">
      <c r="B445" s="54"/>
      <c r="E445" s="45"/>
      <c r="F445" s="45"/>
      <c r="G445" s="45"/>
      <c r="H445" s="45"/>
      <c r="I445" s="54"/>
      <c r="L445" s="46"/>
      <c r="M445" s="54"/>
      <c r="N445" s="46"/>
      <c r="O445" s="46"/>
      <c r="P445" s="46"/>
      <c r="Q445" s="46"/>
      <c r="R445" s="46"/>
      <c r="S445" s="46"/>
      <c r="T445" s="54"/>
      <c r="U445" s="46"/>
    </row>
    <row r="446" spans="1:23" ht="135" customHeight="1">
      <c r="C446" s="8"/>
      <c r="D446" s="8"/>
      <c r="E446" s="8"/>
      <c r="F446" s="8"/>
      <c r="G446" s="8"/>
      <c r="H446" s="8"/>
      <c r="J446" s="8"/>
      <c r="K446" s="8"/>
      <c r="L446" s="9"/>
      <c r="N446" s="9"/>
      <c r="O446" s="9"/>
      <c r="P446" s="9"/>
      <c r="Q446" s="9"/>
      <c r="R446" s="9"/>
      <c r="S446" s="9"/>
      <c r="U446" s="9"/>
    </row>
    <row r="447" spans="1:23">
      <c r="C447" s="8"/>
      <c r="D447" s="8"/>
      <c r="E447" s="8"/>
      <c r="F447" s="8"/>
      <c r="G447" s="8"/>
      <c r="H447" s="8"/>
      <c r="J447" s="8"/>
      <c r="K447" s="8"/>
      <c r="L447" s="9"/>
      <c r="N447" s="9"/>
      <c r="O447" s="9"/>
      <c r="P447" s="9"/>
      <c r="Q447" s="9"/>
      <c r="R447" s="9"/>
      <c r="S447" s="9"/>
      <c r="U447" s="9"/>
    </row>
    <row r="448" spans="1:23">
      <c r="C448" s="8"/>
      <c r="D448" s="8"/>
      <c r="E448" s="8"/>
      <c r="F448" s="8"/>
      <c r="G448" s="8"/>
      <c r="H448" s="155">
        <f>Bozza!$C$97</f>
        <v>0</v>
      </c>
      <c r="I448" s="155"/>
      <c r="J448" s="155"/>
      <c r="K448" s="8"/>
      <c r="L448" s="9"/>
      <c r="N448" s="9"/>
      <c r="O448" s="9"/>
      <c r="P448" s="9"/>
      <c r="Q448" s="9"/>
      <c r="R448" s="9"/>
      <c r="S448" s="156">
        <f>Bozza!F97</f>
        <v>0</v>
      </c>
      <c r="T448" s="156"/>
      <c r="U448" s="156"/>
    </row>
    <row r="449" spans="2:21">
      <c r="C449" s="8"/>
      <c r="D449" s="8"/>
      <c r="E449" s="8"/>
      <c r="F449" s="8"/>
      <c r="G449" s="8"/>
      <c r="H449" s="8"/>
      <c r="J449" s="8"/>
      <c r="K449" s="8"/>
      <c r="L449" s="9"/>
      <c r="N449" s="9"/>
      <c r="O449" s="9"/>
      <c r="P449" s="9"/>
      <c r="Q449" s="9"/>
      <c r="R449" s="9"/>
      <c r="S449" s="9"/>
      <c r="U449" s="9"/>
    </row>
    <row r="450" spans="2:21" ht="12" customHeight="1">
      <c r="C450" s="8"/>
      <c r="D450" s="8"/>
      <c r="E450" s="8"/>
      <c r="F450" s="155">
        <f>Bozza!$C$98</f>
        <v>0</v>
      </c>
      <c r="G450" s="155"/>
      <c r="H450" s="155"/>
      <c r="I450" s="155"/>
      <c r="J450" s="155"/>
      <c r="K450" s="8"/>
      <c r="L450" s="9"/>
      <c r="N450" s="9"/>
      <c r="O450" s="9"/>
      <c r="P450" s="9"/>
      <c r="Q450" s="156">
        <f>Bozza!F98</f>
        <v>0</v>
      </c>
      <c r="R450" s="156"/>
      <c r="S450" s="156"/>
      <c r="T450" s="156"/>
      <c r="U450" s="156"/>
    </row>
    <row r="451" spans="2:21">
      <c r="C451" s="8"/>
      <c r="D451" s="8"/>
      <c r="E451" s="8"/>
      <c r="F451" s="8"/>
      <c r="G451" s="8"/>
      <c r="H451" s="8"/>
      <c r="J451" s="8"/>
      <c r="K451" s="8"/>
      <c r="L451" s="9"/>
      <c r="N451" s="9"/>
      <c r="O451" s="9"/>
      <c r="P451" s="9"/>
      <c r="Q451" s="9"/>
      <c r="R451" s="9"/>
      <c r="S451" s="9"/>
      <c r="U451" s="9"/>
    </row>
    <row r="452" spans="2:21" ht="12" customHeight="1">
      <c r="C452" s="8"/>
      <c r="D452" s="157">
        <f>D428</f>
        <v>28</v>
      </c>
      <c r="E452" s="156"/>
      <c r="F452" s="156"/>
      <c r="G452" s="156"/>
      <c r="H452" s="156"/>
      <c r="I452" s="156"/>
      <c r="J452" s="156"/>
      <c r="K452" s="8"/>
      <c r="L452" s="9"/>
      <c r="N452" s="9"/>
      <c r="O452" s="157">
        <f>D452</f>
        <v>28</v>
      </c>
      <c r="P452" s="156"/>
      <c r="Q452" s="156"/>
      <c r="R452" s="156"/>
      <c r="S452" s="156"/>
      <c r="T452" s="156"/>
      <c r="U452" s="156"/>
    </row>
    <row r="453" spans="2:21">
      <c r="C453" s="8"/>
      <c r="D453" s="8"/>
      <c r="E453" s="8"/>
      <c r="F453" s="8"/>
      <c r="G453" s="8"/>
      <c r="H453" s="8"/>
      <c r="J453" s="8"/>
      <c r="K453" s="8"/>
      <c r="L453" s="9"/>
      <c r="N453" s="9"/>
      <c r="O453" s="9"/>
      <c r="P453" s="9"/>
      <c r="Q453" s="9"/>
      <c r="R453" s="9"/>
      <c r="S453" s="9"/>
      <c r="U453" s="9"/>
    </row>
    <row r="454" spans="2:21" ht="13" customHeight="1">
      <c r="C454" s="8"/>
      <c r="D454" s="8"/>
      <c r="E454" s="8"/>
      <c r="F454" s="8"/>
      <c r="G454" s="156">
        <f>Bozza!$E$97</f>
        <v>0</v>
      </c>
      <c r="H454" s="156"/>
      <c r="I454" s="156"/>
      <c r="J454" s="156"/>
      <c r="K454" s="8"/>
      <c r="L454" s="9"/>
      <c r="N454" s="9"/>
      <c r="O454" s="9"/>
      <c r="P454" s="9"/>
      <c r="Q454" s="9"/>
      <c r="R454" s="156">
        <f>Bozza!H97</f>
        <v>0</v>
      </c>
      <c r="S454" s="156"/>
      <c r="T454" s="156"/>
      <c r="U454" s="156"/>
    </row>
    <row r="455" spans="2:21" ht="32" customHeight="1">
      <c r="C455" s="8"/>
      <c r="D455" s="8"/>
      <c r="E455" s="8"/>
      <c r="F455" s="8"/>
      <c r="G455" s="8"/>
      <c r="H455" s="8"/>
      <c r="J455" s="8"/>
      <c r="K455" s="8"/>
      <c r="L455" s="9"/>
      <c r="N455" s="9"/>
      <c r="O455" s="9"/>
      <c r="P455" s="9"/>
      <c r="Q455" s="9"/>
      <c r="R455" s="9"/>
      <c r="S455" s="9"/>
      <c r="U455" s="9"/>
    </row>
    <row r="456" spans="2:21" ht="5" customHeight="1">
      <c r="C456" s="8"/>
      <c r="D456" s="8"/>
      <c r="E456" s="8"/>
      <c r="F456" s="8"/>
      <c r="G456" s="8"/>
      <c r="H456" s="8"/>
      <c r="J456" s="8"/>
      <c r="K456" s="8"/>
      <c r="L456" s="9"/>
      <c r="N456" s="9"/>
      <c r="O456" s="9"/>
      <c r="P456" s="9"/>
      <c r="Q456" s="9"/>
      <c r="R456" s="9"/>
      <c r="S456" s="9"/>
      <c r="U456" s="9"/>
    </row>
    <row r="457" spans="2:21" ht="6" customHeight="1">
      <c r="B457" s="50" t="str">
        <f>IF(Bozza!$A$97 = "Lettura biblica", "X", "")</f>
        <v/>
      </c>
      <c r="C457" s="8"/>
      <c r="D457" s="8"/>
      <c r="E457" s="8"/>
      <c r="F457" s="8"/>
      <c r="G457" s="8"/>
      <c r="H457" s="8"/>
      <c r="I457" s="50" t="str">
        <f>IF(Bozza!$A$97 = "Terza visita ulteriore", "X", "")</f>
        <v/>
      </c>
      <c r="J457" s="8"/>
      <c r="K457" s="8"/>
      <c r="L457" s="9"/>
      <c r="M457" s="50" t="str">
        <f>IF(Bozza!$A$97 = "Lettura biblica", "X", "")</f>
        <v/>
      </c>
      <c r="N457" s="8"/>
      <c r="O457" s="8"/>
      <c r="P457" s="8"/>
      <c r="Q457" s="8"/>
      <c r="R457" s="8"/>
      <c r="S457" s="8"/>
      <c r="T457" s="50" t="str">
        <f>IF(Bozza!$A$97 = "Terza visita ulteriore", "X", "")</f>
        <v/>
      </c>
      <c r="U457" s="9"/>
    </row>
    <row r="458" spans="2:21" ht="8" customHeight="1">
      <c r="B458" s="50"/>
      <c r="C458" s="8"/>
      <c r="D458" s="8"/>
      <c r="E458" s="8"/>
      <c r="F458" s="8"/>
      <c r="G458" s="8"/>
      <c r="H458" s="8"/>
      <c r="I458" s="50"/>
      <c r="J458" s="8"/>
      <c r="K458" s="8"/>
      <c r="L458" s="9"/>
      <c r="M458" s="50"/>
      <c r="N458" s="8"/>
      <c r="O458" s="8"/>
      <c r="P458" s="8"/>
      <c r="Q458" s="8"/>
      <c r="R458" s="8"/>
      <c r="S458" s="8"/>
      <c r="T458" s="50"/>
      <c r="U458" s="9"/>
    </row>
    <row r="459" spans="2:21" ht="5" customHeight="1">
      <c r="B459" s="50" t="str">
        <f>IF(Bozza!$A$97 = "Primo contatto", "X", "")</f>
        <v/>
      </c>
      <c r="C459" s="8"/>
      <c r="D459" s="8"/>
      <c r="E459" s="8"/>
      <c r="F459" s="8"/>
      <c r="G459" s="8"/>
      <c r="H459" s="8"/>
      <c r="I459" s="50" t="str">
        <f>IF(Bozza!$A$97 = "Studio biblico", "X", "")</f>
        <v/>
      </c>
      <c r="J459" s="8"/>
      <c r="K459" s="8"/>
      <c r="L459" s="9"/>
      <c r="M459" s="50" t="str">
        <f>IF(Bozza!$A$97 = "Primo contatto", "X", "")</f>
        <v/>
      </c>
      <c r="N459" s="8"/>
      <c r="O459" s="8"/>
      <c r="P459" s="8"/>
      <c r="Q459" s="8"/>
      <c r="R459" s="8"/>
      <c r="S459" s="8"/>
      <c r="T459" s="50" t="str">
        <f>IF(Bozza!$A$97 = "Studio biblico", "X", "")</f>
        <v/>
      </c>
      <c r="U459" s="9"/>
    </row>
    <row r="460" spans="2:21" ht="7" customHeight="1">
      <c r="B460" s="50"/>
      <c r="C460" s="8"/>
      <c r="D460" s="8"/>
      <c r="E460" s="8"/>
      <c r="F460" s="8"/>
      <c r="G460" s="8"/>
      <c r="H460" s="8"/>
      <c r="I460" s="50"/>
      <c r="J460" s="8"/>
      <c r="K460" s="8"/>
      <c r="L460" s="9"/>
      <c r="M460" s="50"/>
      <c r="N460" s="8"/>
      <c r="O460" s="8"/>
      <c r="P460" s="8"/>
      <c r="Q460" s="8"/>
      <c r="R460" s="8"/>
      <c r="S460" s="8"/>
      <c r="T460" s="50"/>
      <c r="U460" s="9"/>
    </row>
    <row r="461" spans="2:21" ht="6" customHeight="1">
      <c r="B461" s="50" t="str">
        <f>IF(Bozza!$A$97 = "Prima visita ulteriore", "X", "")</f>
        <v/>
      </c>
      <c r="C461" s="8"/>
      <c r="D461" s="8"/>
      <c r="E461" s="8"/>
      <c r="F461" s="8"/>
      <c r="G461" s="8"/>
      <c r="H461" s="8"/>
      <c r="I461" s="50" t="str">
        <f>IF(Bozza!$A$97 = "Discorso", "X", "")</f>
        <v/>
      </c>
      <c r="J461" s="8"/>
      <c r="K461" s="8"/>
      <c r="L461" s="9"/>
      <c r="M461" s="50" t="str">
        <f>IF(Bozza!$A$97 = "Prima visita ulteriore", "X", "")</f>
        <v/>
      </c>
      <c r="N461" s="8"/>
      <c r="O461" s="8"/>
      <c r="P461" s="8"/>
      <c r="Q461" s="8"/>
      <c r="R461" s="8"/>
      <c r="S461" s="8"/>
      <c r="T461" s="50" t="str">
        <f>IF(Bozza!$A$97 = "Discorso", "X", "")</f>
        <v/>
      </c>
      <c r="U461" s="9"/>
    </row>
    <row r="462" spans="2:21" ht="7" customHeight="1">
      <c r="B462" s="50"/>
      <c r="C462" s="8"/>
      <c r="D462" s="8"/>
      <c r="E462" s="8"/>
      <c r="F462" s="8"/>
      <c r="G462" s="8"/>
      <c r="H462" s="8"/>
      <c r="I462" s="50"/>
      <c r="J462" s="8"/>
      <c r="K462" s="8"/>
      <c r="L462" s="9"/>
      <c r="M462" s="50"/>
      <c r="N462" s="8"/>
      <c r="O462" s="8"/>
      <c r="P462" s="8"/>
      <c r="Q462" s="8"/>
      <c r="R462" s="8"/>
      <c r="S462" s="8"/>
      <c r="T462" s="50"/>
      <c r="U462" s="9"/>
    </row>
    <row r="463" spans="2:21" ht="8" customHeight="1">
      <c r="B463" s="50" t="str">
        <f>IF(Bozza!$A$97 = "Seconda visita ulteriore", "X", "")</f>
        <v/>
      </c>
      <c r="C463" s="8"/>
      <c r="D463" s="8"/>
      <c r="E463" s="8"/>
      <c r="F463" s="8"/>
      <c r="G463" s="8"/>
      <c r="H463" s="8"/>
      <c r="I463" s="50"/>
      <c r="J463" s="8"/>
      <c r="K463" s="8"/>
      <c r="L463" s="9"/>
      <c r="M463" s="50" t="str">
        <f>IF(Bozza!$A$97 = "Seconda visita ulteriore", "X", "")</f>
        <v/>
      </c>
      <c r="N463" s="8"/>
      <c r="O463" s="8"/>
      <c r="P463" s="8"/>
      <c r="Q463" s="8"/>
      <c r="R463" s="8"/>
      <c r="S463" s="8"/>
      <c r="T463" s="50"/>
    </row>
    <row r="464" spans="2:21" s="8" customFormat="1" ht="20" customHeight="1">
      <c r="B464" s="54"/>
      <c r="I464" s="54"/>
      <c r="L464" s="49"/>
      <c r="M464" s="54"/>
      <c r="N464" s="49"/>
      <c r="O464" s="49"/>
      <c r="P464" s="49"/>
      <c r="Q464" s="49"/>
      <c r="R464" s="49"/>
      <c r="S464" s="49"/>
      <c r="T464" s="54"/>
      <c r="U464" s="49"/>
    </row>
    <row r="465" spans="1:23" ht="10" customHeight="1">
      <c r="A465" s="52"/>
      <c r="B465" s="55" t="s">
        <v>16</v>
      </c>
      <c r="C465" s="52"/>
      <c r="D465" s="52"/>
      <c r="E465" s="161"/>
      <c r="F465" s="161"/>
      <c r="G465" s="161"/>
      <c r="H465" s="161"/>
      <c r="I465" s="55"/>
      <c r="J465" s="52"/>
      <c r="K465" s="52"/>
      <c r="L465" s="53"/>
      <c r="M465" s="55"/>
      <c r="N465" s="53"/>
      <c r="O465" s="53"/>
      <c r="P465" s="162"/>
      <c r="Q465" s="162"/>
      <c r="R465" s="162"/>
      <c r="S465" s="162"/>
      <c r="T465" s="55"/>
      <c r="U465" s="53"/>
      <c r="V465" s="52"/>
      <c r="W465" s="52"/>
    </row>
    <row r="466" spans="1:23" ht="6" customHeight="1">
      <c r="A466" s="52"/>
      <c r="B466" s="55"/>
      <c r="C466" s="52"/>
      <c r="D466" s="52"/>
      <c r="E466" s="52"/>
      <c r="F466" s="52"/>
      <c r="G466" s="52"/>
      <c r="H466" s="52"/>
      <c r="I466" s="55"/>
      <c r="J466" s="52"/>
      <c r="K466" s="52"/>
      <c r="L466" s="53"/>
      <c r="M466" s="55"/>
      <c r="N466" s="53"/>
      <c r="O466" s="53"/>
      <c r="P466" s="53"/>
      <c r="Q466" s="53"/>
      <c r="R466" s="53"/>
      <c r="S466" s="53"/>
      <c r="T466" s="55"/>
      <c r="U466" s="53"/>
      <c r="V466" s="52"/>
      <c r="W466" s="52"/>
    </row>
    <row r="467" spans="1:23" ht="8" customHeight="1">
      <c r="A467" s="52"/>
      <c r="B467" s="55"/>
      <c r="C467" s="52"/>
      <c r="D467" s="52"/>
      <c r="E467" s="52"/>
      <c r="F467" s="52"/>
      <c r="G467" s="52"/>
      <c r="H467" s="52"/>
      <c r="I467" s="55"/>
      <c r="J467" s="52"/>
      <c r="K467" s="52"/>
      <c r="L467" s="53"/>
      <c r="M467" s="55" t="s">
        <v>16</v>
      </c>
      <c r="N467" s="53"/>
      <c r="O467" s="53"/>
      <c r="P467" s="53"/>
      <c r="Q467" s="53"/>
      <c r="R467" s="53"/>
      <c r="S467" s="53"/>
      <c r="T467" s="55"/>
      <c r="U467" s="53"/>
      <c r="V467" s="52"/>
      <c r="W467" s="52"/>
    </row>
    <row r="468" spans="1:23" ht="6" customHeight="1">
      <c r="C468" s="8"/>
      <c r="D468" s="8"/>
      <c r="E468" s="8"/>
      <c r="F468" s="8"/>
      <c r="G468" s="8"/>
      <c r="H468" s="8"/>
      <c r="J468" s="8"/>
      <c r="K468" s="8"/>
      <c r="L468" s="9"/>
      <c r="N468" s="9"/>
      <c r="O468" s="9"/>
      <c r="P468" s="9"/>
      <c r="Q468" s="9"/>
      <c r="R468" s="9"/>
      <c r="S468" s="9"/>
    </row>
    <row r="469" spans="1:23" ht="7" customHeight="1">
      <c r="C469" s="8"/>
      <c r="D469" s="8"/>
      <c r="E469" s="8"/>
      <c r="F469" s="8"/>
      <c r="G469" s="8"/>
      <c r="H469" s="8"/>
      <c r="J469" s="8"/>
      <c r="K469" s="8"/>
      <c r="L469" s="9"/>
      <c r="N469" s="9"/>
      <c r="O469" s="9"/>
      <c r="P469" s="9"/>
      <c r="Q469" s="9"/>
      <c r="R469" s="9"/>
      <c r="S469" s="9"/>
    </row>
    <row r="470" spans="1:23">
      <c r="C470" s="8"/>
      <c r="D470" s="8"/>
      <c r="E470" s="8"/>
      <c r="F470" s="8"/>
      <c r="G470" s="8"/>
      <c r="H470" s="8"/>
      <c r="J470" s="8"/>
      <c r="K470" s="8"/>
      <c r="L470" s="9"/>
      <c r="N470" s="9"/>
      <c r="O470" s="9"/>
      <c r="P470" s="9"/>
      <c r="Q470" s="9"/>
      <c r="R470" s="9"/>
      <c r="S470" s="9"/>
    </row>
    <row r="471" spans="1:23">
      <c r="C471" s="8"/>
      <c r="D471" s="8"/>
      <c r="E471" s="8"/>
      <c r="F471" s="8"/>
      <c r="G471" s="8"/>
      <c r="H471" s="8"/>
      <c r="J471" s="8"/>
      <c r="K471" s="8"/>
      <c r="L471" s="9"/>
      <c r="N471" s="9"/>
      <c r="O471" s="9"/>
      <c r="P471" s="9"/>
      <c r="Q471" s="9"/>
      <c r="R471" s="9"/>
      <c r="S471" s="9"/>
    </row>
    <row r="472" spans="1:23">
      <c r="C472" s="8"/>
      <c r="D472" s="8"/>
      <c r="E472" s="8"/>
      <c r="F472" s="8"/>
      <c r="G472" s="8"/>
      <c r="H472" s="8"/>
      <c r="J472" s="8"/>
      <c r="K472" s="8"/>
      <c r="L472" s="9"/>
      <c r="N472" s="9"/>
      <c r="O472" s="9"/>
      <c r="P472" s="9"/>
      <c r="Q472" s="9"/>
      <c r="R472" s="9"/>
      <c r="S472" s="9"/>
    </row>
    <row r="473" spans="1:23">
      <c r="C473" s="8"/>
      <c r="D473" s="8"/>
      <c r="E473" s="8"/>
      <c r="F473" s="8"/>
      <c r="G473" s="8"/>
      <c r="H473" s="8"/>
      <c r="J473" s="8"/>
      <c r="K473" s="8"/>
      <c r="L473" s="9"/>
      <c r="N473" s="9"/>
      <c r="O473" s="9"/>
      <c r="P473" s="9"/>
      <c r="Q473" s="9"/>
      <c r="R473" s="9"/>
      <c r="S473" s="9"/>
    </row>
    <row r="474" spans="1:23">
      <c r="C474" s="8"/>
      <c r="D474" s="8"/>
      <c r="E474" s="8"/>
      <c r="F474" s="8"/>
      <c r="G474" s="8"/>
      <c r="H474" s="8"/>
      <c r="J474" s="8"/>
      <c r="K474" s="8"/>
      <c r="L474" s="9"/>
      <c r="N474" s="9"/>
      <c r="O474" s="9"/>
      <c r="P474" s="9"/>
      <c r="Q474" s="9"/>
      <c r="R474" s="9"/>
      <c r="S474" s="9"/>
    </row>
    <row r="475" spans="1:23">
      <c r="C475" s="8"/>
      <c r="D475" s="8"/>
      <c r="E475" s="8"/>
      <c r="F475" s="8"/>
      <c r="G475" s="8"/>
      <c r="H475" s="8"/>
      <c r="J475" s="8"/>
      <c r="K475" s="8"/>
      <c r="L475" s="9"/>
      <c r="N475" s="9"/>
      <c r="O475" s="9"/>
      <c r="P475" s="9"/>
      <c r="Q475" s="9"/>
      <c r="R475" s="9"/>
      <c r="S475" s="9"/>
    </row>
    <row r="476" spans="1:23">
      <c r="C476" s="8"/>
      <c r="D476" s="8"/>
      <c r="E476" s="8"/>
      <c r="F476" s="8"/>
      <c r="G476" s="8"/>
      <c r="H476" s="8"/>
      <c r="J476" s="8"/>
      <c r="K476" s="8"/>
      <c r="L476" s="9"/>
      <c r="N476" s="9"/>
      <c r="O476" s="9"/>
      <c r="P476" s="9"/>
      <c r="Q476" s="9"/>
      <c r="R476" s="9"/>
      <c r="S476" s="9"/>
    </row>
    <row r="477" spans="1:23">
      <c r="C477" s="8"/>
      <c r="D477" s="8"/>
      <c r="E477" s="8"/>
      <c r="F477" s="8"/>
      <c r="G477" s="8"/>
      <c r="H477" s="8"/>
      <c r="J477" s="8"/>
      <c r="K477" s="8"/>
      <c r="L477" s="9"/>
      <c r="N477" s="9"/>
      <c r="O477" s="9"/>
      <c r="P477" s="9"/>
      <c r="Q477" s="9"/>
      <c r="R477" s="9"/>
      <c r="S477" s="9"/>
    </row>
    <row r="478" spans="1:23">
      <c r="C478" s="8"/>
      <c r="D478" s="8"/>
      <c r="E478" s="8"/>
      <c r="F478" s="8"/>
      <c r="G478" s="8"/>
      <c r="H478" s="8"/>
      <c r="J478" s="8"/>
      <c r="K478" s="8"/>
      <c r="L478" s="9"/>
      <c r="N478" s="9"/>
      <c r="O478" s="9"/>
      <c r="P478" s="9"/>
      <c r="Q478" s="9"/>
      <c r="R478" s="9"/>
      <c r="S478" s="9"/>
    </row>
    <row r="479" spans="1:23">
      <c r="C479" s="8"/>
      <c r="D479" s="8"/>
      <c r="E479" s="8"/>
      <c r="F479" s="8"/>
      <c r="G479" s="8"/>
      <c r="H479" s="8"/>
      <c r="J479" s="8"/>
      <c r="K479" s="8"/>
      <c r="L479" s="9"/>
      <c r="N479" s="9"/>
      <c r="O479" s="9"/>
      <c r="P479" s="9"/>
      <c r="Q479" s="9"/>
      <c r="R479" s="9"/>
      <c r="S479" s="9"/>
    </row>
    <row r="512" spans="3:8">
      <c r="C512" s="8"/>
      <c r="D512" s="8"/>
      <c r="E512" s="8"/>
      <c r="F512" s="8"/>
      <c r="G512" s="8"/>
      <c r="H512" s="8"/>
    </row>
    <row r="513" spans="3:8">
      <c r="C513" s="8"/>
      <c r="D513" s="8"/>
      <c r="E513" s="8"/>
      <c r="F513" s="8"/>
      <c r="G513" s="8"/>
      <c r="H513" s="8"/>
    </row>
    <row r="514" spans="3:8">
      <c r="C514" s="8"/>
      <c r="D514" s="8"/>
      <c r="E514" s="8"/>
      <c r="F514" s="8"/>
      <c r="G514" s="8"/>
      <c r="H514" s="8"/>
    </row>
    <row r="515" spans="3:8">
      <c r="C515" s="8"/>
      <c r="D515" s="8"/>
      <c r="E515" s="8"/>
      <c r="F515" s="8"/>
      <c r="G515" s="8"/>
      <c r="H515" s="8"/>
    </row>
    <row r="516" spans="3:8">
      <c r="C516" s="8"/>
      <c r="D516" s="8"/>
      <c r="E516" s="8"/>
      <c r="F516" s="8"/>
      <c r="G516" s="8"/>
      <c r="H516" s="8"/>
    </row>
    <row r="517" spans="3:8">
      <c r="C517" s="8"/>
      <c r="D517" s="8"/>
      <c r="E517" s="8"/>
      <c r="F517" s="8"/>
      <c r="G517" s="8"/>
      <c r="H517" s="8"/>
    </row>
    <row r="518" spans="3:8">
      <c r="C518" s="8"/>
      <c r="D518" s="8"/>
      <c r="E518" s="8"/>
      <c r="F518" s="8"/>
      <c r="G518" s="8"/>
      <c r="H518" s="8"/>
    </row>
    <row r="519" spans="3:8">
      <c r="C519" s="8"/>
      <c r="D519" s="8"/>
      <c r="E519" s="8"/>
      <c r="F519" s="8"/>
      <c r="G519" s="8"/>
      <c r="H519" s="8"/>
    </row>
    <row r="520" spans="3:8">
      <c r="C520" s="8"/>
      <c r="D520" s="8"/>
      <c r="E520" s="8"/>
      <c r="F520" s="8"/>
      <c r="G520" s="8"/>
      <c r="H520" s="8"/>
    </row>
    <row r="521" spans="3:8">
      <c r="C521" s="8"/>
      <c r="D521" s="8"/>
      <c r="E521" s="8"/>
      <c r="F521" s="8"/>
      <c r="G521" s="8"/>
      <c r="H521" s="8"/>
    </row>
    <row r="522" spans="3:8">
      <c r="C522" s="8"/>
      <c r="D522" s="8"/>
      <c r="E522" s="8"/>
      <c r="F522" s="8"/>
      <c r="G522" s="8"/>
      <c r="H522" s="8"/>
    </row>
    <row r="523" spans="3:8">
      <c r="C523" s="8"/>
      <c r="D523" s="8"/>
      <c r="E523" s="8"/>
      <c r="F523" s="8"/>
      <c r="G523" s="8"/>
      <c r="H523" s="8"/>
    </row>
  </sheetData>
  <mergeCells count="200"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</mergeCells>
  <phoneticPr fontId="9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Bozza</vt:lpstr>
      <vt:lpstr>Bozza Assegnazioni</vt:lpstr>
      <vt:lpstr>Programma</vt:lpstr>
      <vt:lpstr>Assegnazioni</vt:lpstr>
      <vt:lpstr>Assegnazioni OLD</vt:lpstr>
      <vt:lpstr>'Assegnazioni OLD'!Print_Area</vt:lpstr>
      <vt:lpstr>Programma!Print_Area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Microsoft Office User</cp:lastModifiedBy>
  <cp:revision/>
  <dcterms:created xsi:type="dcterms:W3CDTF">2015-12-08T22:02:51Z</dcterms:created>
  <dcterms:modified xsi:type="dcterms:W3CDTF">2021-01-01T20:27:34Z</dcterms:modified>
  <cp:category/>
  <cp:contentStatus/>
</cp:coreProperties>
</file>